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06ee55a9c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er_Plan" sheetId="1" r:id="R58bdb2d1291c401d"/>
    <x:sheet xmlns:r="http://schemas.openxmlformats.org/officeDocument/2006/relationships" name="Progress_Monitor" sheetId="2" r:id="R78d5795bded64c0d"/>
    <x:sheet xmlns:r="http://schemas.openxmlformats.org/officeDocument/2006/relationships" name="Support_Log" sheetId="3" r:id="R328d6db284e2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11827"/>
      <x:name val="Carlito"/>
    </x:font>
    <x:font>
      <x:b/>
      <x:sz val="11"/>
      <x:color rgb="FF0F172A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AF5FB"/>
      </x:patternFill>
    </x:fill>
    <x:fill>
      <x:patternFill patternType="solid">
        <x:fgColor rgb="FFF3FBF4"/>
      </x:patternFill>
    </x:fill>
    <x:fill>
      <x:patternFill patternType="solid">
        <x:fgColor rgb="FFFDECEC"/>
      </x:patternFill>
    </x:fill>
  </x:fills>
  <x:borders count="10">
    <x:border/>
    <x:border>
      <x:left style="thin">
        <x:color rgb="FFD8E6EA"/>
      </x:left>
      <x:top style="thin">
        <x:color rgb="FFD8E6EA"/>
      </x:top>
      <x:bottom style="thin">
        <x:color rgb="FFD8E6EA"/>
      </x:bottom>
    </x:border>
    <x:border>
      <x:right style="thin">
        <x:color rgb="FFD8E6EA"/>
      </x:right>
      <x:top style="thin">
        <x:color rgb="FFD8E6EA"/>
      </x:top>
      <x:bottom style="thin">
        <x:color rgb="FFD8E6EA"/>
      </x:bottom>
    </x:border>
    <x:border>
      <x:left style="thin">
        <x:color rgb="FFD8E6EA"/>
      </x:left>
      <x:right style="thin">
        <x:color rgb="FFD8E6EA"/>
      </x:right>
      <x:top style="thin">
        <x:color rgb="FFD8E6EA"/>
      </x:top>
      <x:bottom style="thin">
        <x:color rgb="FFD8E6EA"/>
      </x:bottom>
    </x:border>
    <x:border>
      <x:right style="thin">
        <x:color rgb="FFD8E6EA"/>
      </x:right>
      <x:bottom style="thin">
        <x:color rgb="FFD8E6EA"/>
      </x:bottom>
    </x:border>
    <x:border>
      <x:left style="thin">
        <x:color rgb="FFD8E6EA"/>
      </x:left>
      <x:right style="thin">
        <x:color rgb="FFD8E6EA"/>
      </x:right>
      <x:bottom style="thin">
        <x:color rgb="FFD8E6EA"/>
      </x:bottom>
    </x:border>
    <x:border>
      <x:left style="thin">
        <x:color rgb="FFD8E6EA"/>
      </x:left>
      <x:bottom style="thin">
        <x:color rgb="FFD8E6EA"/>
      </x:bottom>
    </x:border>
    <x:border>
      <x:right style="thin">
        <x:color rgb="FFD8E6EA"/>
      </x:right>
      <x:top style="thin">
        <x:color rgb="FFD8E6EA"/>
      </x:top>
    </x:border>
    <x:border>
      <x:left style="thin">
        <x:color rgb="FFD8E6EA"/>
      </x:left>
      <x:right style="thin">
        <x:color rgb="FFD8E6EA"/>
      </x:right>
      <x:top style="thin">
        <x:color rgb="FFD8E6EA"/>
      </x:top>
    </x:border>
    <x:border>
      <x:left style="thin">
        <x:color rgb="FFD8E6EA"/>
      </x:left>
      <x:top style="thin">
        <x:color rgb="FFD8E6EA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201" fontId="2" fillId="0" borderId="5" xfId="0" applyNumberFormat="1" applyFont="1" applyFill="1" applyBorder="1" applyAlignment="1">
      <x:alignment vertical="top" wrapText="1"/>
    </x:xf>
    <x:xf numFmtId="201" fontId="2" fillId="0" borderId="3" xfId="0" applyNumberFormat="1" applyFont="1" applyFill="1" applyBorder="1" applyAlignment="1">
      <x:alignment vertical="top" wrapText="1"/>
    </x:xf>
    <x:xf numFmtId="201" fontId="2" fillId="0" borderId="8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3adbf277e49a6" /><Relationship Type="http://schemas.openxmlformats.org/officeDocument/2006/relationships/theme" Target="/xl/theme/theme1.xml" Id="Rda3f9d8a25144372" /><Relationship Type="http://schemas.openxmlformats.org/officeDocument/2006/relationships/sharedStrings" Target="/xl/sharedStrings.xml" Id="R2e565c14bc0c4fe4" /><Relationship Type="http://schemas.openxmlformats.org/officeDocument/2006/relationships/worksheet" Target="/xl/worksheets/sheet1.xml" Id="R58bdb2d1291c401d" /><Relationship Type="http://schemas.openxmlformats.org/officeDocument/2006/relationships/worksheet" Target="/xl/worksheets/sheet2.xml" Id="R78d5795bded64c0d" /><Relationship Type="http://schemas.openxmlformats.org/officeDocument/2006/relationships/worksheet" Target="/xl/worksheets/sheet3.xml" Id="R328d6db284e24a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22" hidden="0" customWidth="1"/>
    <x:col min="4" max="4" width="31" hidden="0" customWidth="1"/>
    <x:col min="5" max="5" width="22" hidden="0" customWidth="1"/>
    <x:col min="6" max="6" width="18" hidden="0" customWidth="1"/>
    <x:col min="7" max="7" width="30" hidden="0" customWidth="1"/>
    <x:col min="8" max="8" width="30" hidden="0" customWidth="1"/>
    <x:col min="9" max="9" width="17" hidden="0" customWidth="1"/>
    <x:col min="10" max="10" width="20" hidden="0" customWidth="1"/>
    <x:col min="11" max="11" width="30" hidden="0" customWidth="1"/>
  </x:cols>
  <x:sheetData>
    <x:row r="1" ht="30" customHeight="1">
      <x:c r="A1" s="39" t="str">
        <x:v>DEC Internal Pilot - Tester Plan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</x:row>
    <x:row r="2" ht="36" customHeight="1">
      <x:c r="A2" s="7" t="str">
        <x:v>Assign each tester one primary course and only the additional review focus or verification needed for useful coverage. Internal-pilot readiness means readiness to proceed to the selected-CSO pilot.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3">
      <x:c r="A3" s="41" t="str">
        <x:v>Planned testers</x:v>
      </x:c>
      <x:c r="B3" s="42" t="n">
        <x:f>COUNTA('Tester_Plan'!A6:A55)</x:f>
        <x:v>0</x:v>
      </x:c>
      <x:c r="C3" s="40"/>
      <x:c r="D3" s="40"/>
      <x:c r="E3" s="40"/>
      <x:c r="F3" s="40"/>
      <x:c r="G3" s="40"/>
      <x:c r="H3" s="40"/>
      <x:c r="I3" s="40"/>
      <x:c r="J3" s="40"/>
      <x:c r="K3" s="40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</x:row>
    <x:row r="5" ht="32" customHeight="1">
      <x:c r="A5" s="15" t="str">
        <x:v>Tester ID</x:v>
      </x:c>
      <x:c r="B5" s="15" t="str">
        <x:v>Tester name</x:v>
      </x:c>
      <x:c r="C5" s="15" t="str">
        <x:v>Organisation / unit</x:v>
      </x:c>
      <x:c r="D5" s="15" t="str">
        <x:v>Assigned course</x:v>
      </x:c>
      <x:c r="E5" s="15" t="str">
        <x:v>Learner type</x:v>
      </x:c>
      <x:c r="F5" s="15" t="str">
        <x:v>Primary device</x:v>
      </x:c>
      <x:c r="G5" s="15" t="str">
        <x:v>Secondary / cross-device assignment</x:v>
      </x:c>
      <x:c r="H5" s="15" t="str">
        <x:v>Additional review focus / verification</x:v>
      </x:c>
      <x:c r="I5" s="15" t="str">
        <x:v>Target completion</x:v>
      </x:c>
      <x:c r="J5" s="15" t="str">
        <x:v>Status</x:v>
      </x:c>
      <x:c r="K5" s="15" t="str">
        <x:v>Coordinator note</x:v>
      </x:c>
    </x:row>
    <x:row r="6">
      <x:c r="A6" s="19"/>
      <x:c r="B6" s="20"/>
      <x:c r="C6" s="20"/>
      <x:c r="D6" s="20"/>
      <x:c r="E6" s="20"/>
      <x:c r="F6" s="20"/>
      <x:c r="G6" s="20"/>
      <x:c r="H6" s="20"/>
      <x:c r="I6" s="28"/>
      <x:c r="J6" s="20"/>
      <x:c r="K6" s="21"/>
    </x:row>
    <x:row r="7">
      <x:c r="A7" s="22"/>
      <x:c r="B7" s="23"/>
      <x:c r="C7" s="23"/>
      <x:c r="D7" s="23"/>
      <x:c r="E7" s="23"/>
      <x:c r="F7" s="23"/>
      <x:c r="G7" s="23"/>
      <x:c r="H7" s="23"/>
      <x:c r="I7" s="29"/>
      <x:c r="J7" s="23"/>
      <x:c r="K7" s="24"/>
    </x:row>
    <x:row r="8">
      <x:c r="A8" s="22"/>
      <x:c r="B8" s="23"/>
      <x:c r="C8" s="23"/>
      <x:c r="D8" s="23"/>
      <x:c r="E8" s="23"/>
      <x:c r="F8" s="23"/>
      <x:c r="G8" s="23"/>
      <x:c r="H8" s="23"/>
      <x:c r="I8" s="29"/>
      <x:c r="J8" s="23"/>
      <x:c r="K8" s="24"/>
    </x:row>
    <x:row r="9">
      <x:c r="A9" s="22"/>
      <x:c r="B9" s="23"/>
      <x:c r="C9" s="23"/>
      <x:c r="D9" s="23"/>
      <x:c r="E9" s="23"/>
      <x:c r="F9" s="23"/>
      <x:c r="G9" s="23"/>
      <x:c r="H9" s="23"/>
      <x:c r="I9" s="29"/>
      <x:c r="J9" s="23"/>
      <x:c r="K9" s="24"/>
    </x:row>
    <x:row r="10">
      <x:c r="A10" s="22"/>
      <x:c r="B10" s="23"/>
      <x:c r="C10" s="23"/>
      <x:c r="D10" s="23"/>
      <x:c r="E10" s="23"/>
      <x:c r="F10" s="23"/>
      <x:c r="G10" s="23"/>
      <x:c r="H10" s="23"/>
      <x:c r="I10" s="29"/>
      <x:c r="J10" s="23"/>
      <x:c r="K10" s="24"/>
    </x:row>
    <x:row r="11">
      <x:c r="A11" s="22"/>
      <x:c r="B11" s="23"/>
      <x:c r="C11" s="23"/>
      <x:c r="D11" s="23"/>
      <x:c r="E11" s="23"/>
      <x:c r="F11" s="23"/>
      <x:c r="G11" s="23"/>
      <x:c r="H11" s="23"/>
      <x:c r="I11" s="29"/>
      <x:c r="J11" s="23"/>
      <x:c r="K11" s="24"/>
    </x:row>
    <x:row r="12">
      <x:c r="A12" s="22"/>
      <x:c r="B12" s="23"/>
      <x:c r="C12" s="23"/>
      <x:c r="D12" s="23"/>
      <x:c r="E12" s="23"/>
      <x:c r="F12" s="23"/>
      <x:c r="G12" s="23"/>
      <x:c r="H12" s="23"/>
      <x:c r="I12" s="29"/>
      <x:c r="J12" s="23"/>
      <x:c r="K12" s="24"/>
    </x:row>
    <x:row r="13">
      <x:c r="A13" s="22"/>
      <x:c r="B13" s="23"/>
      <x:c r="C13" s="23"/>
      <x:c r="D13" s="23"/>
      <x:c r="E13" s="23"/>
      <x:c r="F13" s="23"/>
      <x:c r="G13" s="23"/>
      <x:c r="H13" s="23"/>
      <x:c r="I13" s="29"/>
      <x:c r="J13" s="23"/>
      <x:c r="K13" s="24"/>
    </x:row>
    <x:row r="14">
      <x:c r="A14" s="22"/>
      <x:c r="B14" s="23"/>
      <x:c r="C14" s="23"/>
      <x:c r="D14" s="23"/>
      <x:c r="E14" s="23"/>
      <x:c r="F14" s="23"/>
      <x:c r="G14" s="23"/>
      <x:c r="H14" s="23"/>
      <x:c r="I14" s="29"/>
      <x:c r="J14" s="23"/>
      <x:c r="K14" s="24"/>
    </x:row>
    <x:row r="15">
      <x:c r="A15" s="22"/>
      <x:c r="B15" s="23"/>
      <x:c r="C15" s="23"/>
      <x:c r="D15" s="23"/>
      <x:c r="E15" s="23"/>
      <x:c r="F15" s="23"/>
      <x:c r="G15" s="23"/>
      <x:c r="H15" s="23"/>
      <x:c r="I15" s="29"/>
      <x:c r="J15" s="23"/>
      <x:c r="K15" s="24"/>
    </x:row>
    <x:row r="16">
      <x:c r="A16" s="22"/>
      <x:c r="B16" s="23"/>
      <x:c r="C16" s="23"/>
      <x:c r="D16" s="23"/>
      <x:c r="E16" s="23"/>
      <x:c r="F16" s="23"/>
      <x:c r="G16" s="23"/>
      <x:c r="H16" s="23"/>
      <x:c r="I16" s="29"/>
      <x:c r="J16" s="23"/>
      <x:c r="K16" s="24"/>
    </x:row>
    <x:row r="17">
      <x:c r="A17" s="22"/>
      <x:c r="B17" s="23"/>
      <x:c r="C17" s="23"/>
      <x:c r="D17" s="23"/>
      <x:c r="E17" s="23"/>
      <x:c r="F17" s="23"/>
      <x:c r="G17" s="23"/>
      <x:c r="H17" s="23"/>
      <x:c r="I17" s="29"/>
      <x:c r="J17" s="23"/>
      <x:c r="K17" s="24"/>
    </x:row>
    <x:row r="18">
      <x:c r="A18" s="22"/>
      <x:c r="B18" s="23"/>
      <x:c r="C18" s="23"/>
      <x:c r="D18" s="23"/>
      <x:c r="E18" s="23"/>
      <x:c r="F18" s="23"/>
      <x:c r="G18" s="23"/>
      <x:c r="H18" s="23"/>
      <x:c r="I18" s="29"/>
      <x:c r="J18" s="23"/>
      <x:c r="K18" s="24"/>
    </x:row>
    <x:row r="19">
      <x:c r="A19" s="22"/>
      <x:c r="B19" s="23"/>
      <x:c r="C19" s="23"/>
      <x:c r="D19" s="23"/>
      <x:c r="E19" s="23"/>
      <x:c r="F19" s="23"/>
      <x:c r="G19" s="23"/>
      <x:c r="H19" s="23"/>
      <x:c r="I19" s="29"/>
      <x:c r="J19" s="23"/>
      <x:c r="K19" s="24"/>
    </x:row>
    <x:row r="20">
      <x:c r="A20" s="22"/>
      <x:c r="B20" s="23"/>
      <x:c r="C20" s="23"/>
      <x:c r="D20" s="23"/>
      <x:c r="E20" s="23"/>
      <x:c r="F20" s="23"/>
      <x:c r="G20" s="23"/>
      <x:c r="H20" s="23"/>
      <x:c r="I20" s="29"/>
      <x:c r="J20" s="23"/>
      <x:c r="K20" s="24"/>
    </x:row>
    <x:row r="21">
      <x:c r="A21" s="22"/>
      <x:c r="B21" s="23"/>
      <x:c r="C21" s="23"/>
      <x:c r="D21" s="23"/>
      <x:c r="E21" s="23"/>
      <x:c r="F21" s="23"/>
      <x:c r="G21" s="23"/>
      <x:c r="H21" s="23"/>
      <x:c r="I21" s="29"/>
      <x:c r="J21" s="23"/>
      <x:c r="K21" s="24"/>
    </x:row>
    <x:row r="22">
      <x:c r="A22" s="22"/>
      <x:c r="B22" s="23"/>
      <x:c r="C22" s="23"/>
      <x:c r="D22" s="23"/>
      <x:c r="E22" s="23"/>
      <x:c r="F22" s="23"/>
      <x:c r="G22" s="23"/>
      <x:c r="H22" s="23"/>
      <x:c r="I22" s="29"/>
      <x:c r="J22" s="23"/>
      <x:c r="K22" s="24"/>
    </x:row>
    <x:row r="23">
      <x:c r="A23" s="22"/>
      <x:c r="B23" s="23"/>
      <x:c r="C23" s="23"/>
      <x:c r="D23" s="23"/>
      <x:c r="E23" s="23"/>
      <x:c r="F23" s="23"/>
      <x:c r="G23" s="23"/>
      <x:c r="H23" s="23"/>
      <x:c r="I23" s="29"/>
      <x:c r="J23" s="23"/>
      <x:c r="K23" s="24"/>
    </x:row>
    <x:row r="24">
      <x:c r="A24" s="22"/>
      <x:c r="B24" s="23"/>
      <x:c r="C24" s="23"/>
      <x:c r="D24" s="23"/>
      <x:c r="E24" s="23"/>
      <x:c r="F24" s="23"/>
      <x:c r="G24" s="23"/>
      <x:c r="H24" s="23"/>
      <x:c r="I24" s="29"/>
      <x:c r="J24" s="23"/>
      <x:c r="K24" s="24"/>
    </x:row>
    <x:row r="25">
      <x:c r="A25" s="22"/>
      <x:c r="B25" s="23"/>
      <x:c r="C25" s="23"/>
      <x:c r="D25" s="23"/>
      <x:c r="E25" s="23"/>
      <x:c r="F25" s="23"/>
      <x:c r="G25" s="23"/>
      <x:c r="H25" s="23"/>
      <x:c r="I25" s="29"/>
      <x:c r="J25" s="23"/>
      <x:c r="K25" s="24"/>
    </x:row>
    <x:row r="26">
      <x:c r="A26" s="22"/>
      <x:c r="B26" s="23"/>
      <x:c r="C26" s="23"/>
      <x:c r="D26" s="23"/>
      <x:c r="E26" s="23"/>
      <x:c r="F26" s="23"/>
      <x:c r="G26" s="23"/>
      <x:c r="H26" s="23"/>
      <x:c r="I26" s="29"/>
      <x:c r="J26" s="23"/>
      <x:c r="K26" s="24"/>
    </x:row>
    <x:row r="27">
      <x:c r="A27" s="22"/>
      <x:c r="B27" s="23"/>
      <x:c r="C27" s="23"/>
      <x:c r="D27" s="23"/>
      <x:c r="E27" s="23"/>
      <x:c r="F27" s="23"/>
      <x:c r="G27" s="23"/>
      <x:c r="H27" s="23"/>
      <x:c r="I27" s="29"/>
      <x:c r="J27" s="23"/>
      <x:c r="K27" s="24"/>
    </x:row>
    <x:row r="28">
      <x:c r="A28" s="22"/>
      <x:c r="B28" s="23"/>
      <x:c r="C28" s="23"/>
      <x:c r="D28" s="23"/>
      <x:c r="E28" s="23"/>
      <x:c r="F28" s="23"/>
      <x:c r="G28" s="23"/>
      <x:c r="H28" s="23"/>
      <x:c r="I28" s="29"/>
      <x:c r="J28" s="23"/>
      <x:c r="K28" s="24"/>
    </x:row>
    <x:row r="29">
      <x:c r="A29" s="22"/>
      <x:c r="B29" s="23"/>
      <x:c r="C29" s="23"/>
      <x:c r="D29" s="23"/>
      <x:c r="E29" s="23"/>
      <x:c r="F29" s="23"/>
      <x:c r="G29" s="23"/>
      <x:c r="H29" s="23"/>
      <x:c r="I29" s="29"/>
      <x:c r="J29" s="23"/>
      <x:c r="K29" s="24"/>
    </x:row>
    <x:row r="30">
      <x:c r="A30" s="22"/>
      <x:c r="B30" s="23"/>
      <x:c r="C30" s="23"/>
      <x:c r="D30" s="23"/>
      <x:c r="E30" s="23"/>
      <x:c r="F30" s="23"/>
      <x:c r="G30" s="23"/>
      <x:c r="H30" s="23"/>
      <x:c r="I30" s="29"/>
      <x:c r="J30" s="23"/>
      <x:c r="K30" s="24"/>
    </x:row>
    <x:row r="31">
      <x:c r="A31" s="22"/>
      <x:c r="B31" s="23"/>
      <x:c r="C31" s="23"/>
      <x:c r="D31" s="23"/>
      <x:c r="E31" s="23"/>
      <x:c r="F31" s="23"/>
      <x:c r="G31" s="23"/>
      <x:c r="H31" s="23"/>
      <x:c r="I31" s="29"/>
      <x:c r="J31" s="23"/>
      <x:c r="K31" s="24"/>
    </x:row>
    <x:row r="32">
      <x:c r="A32" s="22"/>
      <x:c r="B32" s="23"/>
      <x:c r="C32" s="23"/>
      <x:c r="D32" s="23"/>
      <x:c r="E32" s="23"/>
      <x:c r="F32" s="23"/>
      <x:c r="G32" s="23"/>
      <x:c r="H32" s="23"/>
      <x:c r="I32" s="29"/>
      <x:c r="J32" s="23"/>
      <x:c r="K32" s="24"/>
    </x:row>
    <x:row r="33">
      <x:c r="A33" s="22"/>
      <x:c r="B33" s="23"/>
      <x:c r="C33" s="23"/>
      <x:c r="D33" s="23"/>
      <x:c r="E33" s="23"/>
      <x:c r="F33" s="23"/>
      <x:c r="G33" s="23"/>
      <x:c r="H33" s="23"/>
      <x:c r="I33" s="29"/>
      <x:c r="J33" s="23"/>
      <x:c r="K33" s="24"/>
    </x:row>
    <x:row r="34">
      <x:c r="A34" s="22"/>
      <x:c r="B34" s="23"/>
      <x:c r="C34" s="23"/>
      <x:c r="D34" s="23"/>
      <x:c r="E34" s="23"/>
      <x:c r="F34" s="23"/>
      <x:c r="G34" s="23"/>
      <x:c r="H34" s="23"/>
      <x:c r="I34" s="29"/>
      <x:c r="J34" s="23"/>
      <x:c r="K34" s="24"/>
    </x:row>
    <x:row r="35">
      <x:c r="A35" s="22"/>
      <x:c r="B35" s="23"/>
      <x:c r="C35" s="23"/>
      <x:c r="D35" s="23"/>
      <x:c r="E35" s="23"/>
      <x:c r="F35" s="23"/>
      <x:c r="G35" s="23"/>
      <x:c r="H35" s="23"/>
      <x:c r="I35" s="29"/>
      <x:c r="J35" s="23"/>
      <x:c r="K35" s="24"/>
    </x:row>
    <x:row r="36">
      <x:c r="A36" s="22"/>
      <x:c r="B36" s="23"/>
      <x:c r="C36" s="23"/>
      <x:c r="D36" s="23"/>
      <x:c r="E36" s="23"/>
      <x:c r="F36" s="23"/>
      <x:c r="G36" s="23"/>
      <x:c r="H36" s="23"/>
      <x:c r="I36" s="29"/>
      <x:c r="J36" s="23"/>
      <x:c r="K36" s="24"/>
    </x:row>
    <x:row r="37">
      <x:c r="A37" s="22"/>
      <x:c r="B37" s="23"/>
      <x:c r="C37" s="23"/>
      <x:c r="D37" s="23"/>
      <x:c r="E37" s="23"/>
      <x:c r="F37" s="23"/>
      <x:c r="G37" s="23"/>
      <x:c r="H37" s="23"/>
      <x:c r="I37" s="29"/>
      <x:c r="J37" s="23"/>
      <x:c r="K37" s="24"/>
    </x:row>
    <x:row r="38">
      <x:c r="A38" s="22"/>
      <x:c r="B38" s="23"/>
      <x:c r="C38" s="23"/>
      <x:c r="D38" s="23"/>
      <x:c r="E38" s="23"/>
      <x:c r="F38" s="23"/>
      <x:c r="G38" s="23"/>
      <x:c r="H38" s="23"/>
      <x:c r="I38" s="29"/>
      <x:c r="J38" s="23"/>
      <x:c r="K38" s="24"/>
    </x:row>
    <x:row r="39">
      <x:c r="A39" s="22"/>
      <x:c r="B39" s="23"/>
      <x:c r="C39" s="23"/>
      <x:c r="D39" s="23"/>
      <x:c r="E39" s="23"/>
      <x:c r="F39" s="23"/>
      <x:c r="G39" s="23"/>
      <x:c r="H39" s="23"/>
      <x:c r="I39" s="29"/>
      <x:c r="J39" s="23"/>
      <x:c r="K39" s="24"/>
    </x:row>
    <x:row r="40">
      <x:c r="A40" s="22"/>
      <x:c r="B40" s="23"/>
      <x:c r="C40" s="23"/>
      <x:c r="D40" s="23"/>
      <x:c r="E40" s="23"/>
      <x:c r="F40" s="23"/>
      <x:c r="G40" s="23"/>
      <x:c r="H40" s="23"/>
      <x:c r="I40" s="29"/>
      <x:c r="J40" s="23"/>
      <x:c r="K40" s="24"/>
    </x:row>
    <x:row r="41">
      <x:c r="A41" s="22"/>
      <x:c r="B41" s="23"/>
      <x:c r="C41" s="23"/>
      <x:c r="D41" s="23"/>
      <x:c r="E41" s="23"/>
      <x:c r="F41" s="23"/>
      <x:c r="G41" s="23"/>
      <x:c r="H41" s="23"/>
      <x:c r="I41" s="29"/>
      <x:c r="J41" s="23"/>
      <x:c r="K41" s="24"/>
    </x:row>
    <x:row r="42">
      <x:c r="A42" s="22"/>
      <x:c r="B42" s="23"/>
      <x:c r="C42" s="23"/>
      <x:c r="D42" s="23"/>
      <x:c r="E42" s="23"/>
      <x:c r="F42" s="23"/>
      <x:c r="G42" s="23"/>
      <x:c r="H42" s="23"/>
      <x:c r="I42" s="29"/>
      <x:c r="J42" s="23"/>
      <x:c r="K42" s="24"/>
    </x:row>
    <x:row r="43">
      <x:c r="A43" s="22"/>
      <x:c r="B43" s="23"/>
      <x:c r="C43" s="23"/>
      <x:c r="D43" s="23"/>
      <x:c r="E43" s="23"/>
      <x:c r="F43" s="23"/>
      <x:c r="G43" s="23"/>
      <x:c r="H43" s="23"/>
      <x:c r="I43" s="29"/>
      <x:c r="J43" s="23"/>
      <x:c r="K43" s="24"/>
    </x:row>
    <x:row r="44">
      <x:c r="A44" s="22"/>
      <x:c r="B44" s="23"/>
      <x:c r="C44" s="23"/>
      <x:c r="D44" s="23"/>
      <x:c r="E44" s="23"/>
      <x:c r="F44" s="23"/>
      <x:c r="G44" s="23"/>
      <x:c r="H44" s="23"/>
      <x:c r="I44" s="29"/>
      <x:c r="J44" s="23"/>
      <x:c r="K44" s="24"/>
    </x:row>
    <x:row r="45">
      <x:c r="A45" s="22"/>
      <x:c r="B45" s="23"/>
      <x:c r="C45" s="23"/>
      <x:c r="D45" s="23"/>
      <x:c r="E45" s="23"/>
      <x:c r="F45" s="23"/>
      <x:c r="G45" s="23"/>
      <x:c r="H45" s="23"/>
      <x:c r="I45" s="29"/>
      <x:c r="J45" s="23"/>
      <x:c r="K45" s="24"/>
    </x:row>
    <x:row r="46">
      <x:c r="A46" s="22"/>
      <x:c r="B46" s="23"/>
      <x:c r="C46" s="23"/>
      <x:c r="D46" s="23"/>
      <x:c r="E46" s="23"/>
      <x:c r="F46" s="23"/>
      <x:c r="G46" s="23"/>
      <x:c r="H46" s="23"/>
      <x:c r="I46" s="29"/>
      <x:c r="J46" s="23"/>
      <x:c r="K46" s="24"/>
    </x:row>
    <x:row r="47">
      <x:c r="A47" s="22"/>
      <x:c r="B47" s="23"/>
      <x:c r="C47" s="23"/>
      <x:c r="D47" s="23"/>
      <x:c r="E47" s="23"/>
      <x:c r="F47" s="23"/>
      <x:c r="G47" s="23"/>
      <x:c r="H47" s="23"/>
      <x:c r="I47" s="29"/>
      <x:c r="J47" s="23"/>
      <x:c r="K47" s="24"/>
    </x:row>
    <x:row r="48">
      <x:c r="A48" s="22"/>
      <x:c r="B48" s="23"/>
      <x:c r="C48" s="23"/>
      <x:c r="D48" s="23"/>
      <x:c r="E48" s="23"/>
      <x:c r="F48" s="23"/>
      <x:c r="G48" s="23"/>
      <x:c r="H48" s="23"/>
      <x:c r="I48" s="29"/>
      <x:c r="J48" s="23"/>
      <x:c r="K48" s="24"/>
    </x:row>
    <x:row r="49">
      <x:c r="A49" s="22"/>
      <x:c r="B49" s="23"/>
      <x:c r="C49" s="23"/>
      <x:c r="D49" s="23"/>
      <x:c r="E49" s="23"/>
      <x:c r="F49" s="23"/>
      <x:c r="G49" s="23"/>
      <x:c r="H49" s="23"/>
      <x:c r="I49" s="29"/>
      <x:c r="J49" s="23"/>
      <x:c r="K49" s="24"/>
    </x:row>
    <x:row r="50">
      <x:c r="A50" s="22"/>
      <x:c r="B50" s="23"/>
      <x:c r="C50" s="23"/>
      <x:c r="D50" s="23"/>
      <x:c r="E50" s="23"/>
      <x:c r="F50" s="23"/>
      <x:c r="G50" s="23"/>
      <x:c r="H50" s="23"/>
      <x:c r="I50" s="29"/>
      <x:c r="J50" s="23"/>
      <x:c r="K50" s="24"/>
    </x:row>
    <x:row r="51">
      <x:c r="A51" s="22"/>
      <x:c r="B51" s="23"/>
      <x:c r="C51" s="23"/>
      <x:c r="D51" s="23"/>
      <x:c r="E51" s="23"/>
      <x:c r="F51" s="23"/>
      <x:c r="G51" s="23"/>
      <x:c r="H51" s="23"/>
      <x:c r="I51" s="29"/>
      <x:c r="J51" s="23"/>
      <x:c r="K51" s="24"/>
    </x:row>
    <x:row r="52">
      <x:c r="A52" s="22"/>
      <x:c r="B52" s="23"/>
      <x:c r="C52" s="23"/>
      <x:c r="D52" s="23"/>
      <x:c r="E52" s="23"/>
      <x:c r="F52" s="23"/>
      <x:c r="G52" s="23"/>
      <x:c r="H52" s="23"/>
      <x:c r="I52" s="29"/>
      <x:c r="J52" s="23"/>
      <x:c r="K52" s="24"/>
    </x:row>
    <x:row r="53">
      <x:c r="A53" s="22"/>
      <x:c r="B53" s="23"/>
      <x:c r="C53" s="23"/>
      <x:c r="D53" s="23"/>
      <x:c r="E53" s="23"/>
      <x:c r="F53" s="23"/>
      <x:c r="G53" s="23"/>
      <x:c r="H53" s="23"/>
      <x:c r="I53" s="29"/>
      <x:c r="J53" s="23"/>
      <x:c r="K53" s="24"/>
    </x:row>
    <x:row r="54">
      <x:c r="A54" s="22"/>
      <x:c r="B54" s="23"/>
      <x:c r="C54" s="23"/>
      <x:c r="D54" s="23"/>
      <x:c r="E54" s="23"/>
      <x:c r="F54" s="23"/>
      <x:c r="G54" s="23"/>
      <x:c r="H54" s="23"/>
      <x:c r="I54" s="29"/>
      <x:c r="J54" s="23"/>
      <x:c r="K54" s="24"/>
    </x:row>
    <x:row r="55">
      <x:c r="A55" s="25"/>
      <x:c r="B55" s="26"/>
      <x:c r="C55" s="26"/>
      <x:c r="D55" s="26"/>
      <x:c r="E55" s="26"/>
      <x:c r="F55" s="26"/>
      <x:c r="G55" s="26"/>
      <x:c r="H55" s="26"/>
      <x:c r="I55" s="30"/>
      <x:c r="J55" s="26"/>
      <x:c r="K55" s="27"/>
    </x:row>
  </x:sheetData>
  <x:mergeCells>
    <x:mergeCell ref="A1:K1"/>
    <x:mergeCell ref="A2:K2"/>
  </x:mergeCells>
  <x:dataValidations count="4">
    <x:dataValidation type="list" sqref="D6:D55">
      <x:formula1>"Applying the Human Rights-Based Approach in CSO Practice,Project Management for Local and Grassroots CSOs,Both (coordinator-approved)"</x:formula1>
    </x:dataValidation>
    <x:dataValidation type="list" sqref="E6:E55">
      <x:formula1>"New learner,Returning learner,Both"</x:formula1>
    </x:dataValidation>
    <x:dataValidation type="list" sqref="F6:F55">
      <x:formula1>"Smartphone,Laptop,Desktop,Tablet,More than one"</x:formula1>
    </x:dataValidation>
    <x:dataValidation type="list" sqref="J6:J55">
      <x:formula1>"Planned,Invited,Started,In progress,Completed,Paused,Withdrawn"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31" hidden="0" customWidth="1"/>
    <x:col min="4" max="4" width="12" hidden="0" customWidth="1"/>
    <x:col min="5" max="5" width="13" hidden="0" customWidth="1"/>
    <x:col min="6" max="6" width="12" hidden="0" customWidth="1"/>
    <x:col min="7" max="7" width="12" hidden="0" customWidth="1"/>
    <x:col min="8" max="8" width="18" hidden="0" customWidth="1"/>
    <x:col min="9" max="9" width="13" hidden="0" customWidth="1"/>
    <x:col min="10" max="10" width="20" hidden="0" customWidth="1"/>
    <x:col min="11" max="11" width="18" hidden="0" customWidth="1"/>
    <x:col min="12" max="12" width="18" hidden="0" customWidth="1"/>
    <x:col min="13" max="13" width="20" hidden="0" customWidth="1"/>
    <x:col min="14" max="14" width="20" hidden="0" customWidth="1"/>
    <x:col min="15" max="15" width="18" hidden="0" customWidth="1"/>
    <x:col min="16" max="16" width="30" hidden="0" customWidth="1"/>
  </x:cols>
  <x:sheetData>
    <x:row r="1" ht="30" customHeight="1">
      <x:c r="A1" s="39" t="str">
        <x:v>DEC Internal Pilot - Progress Monitor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</x:row>
    <x:row r="2" ht="36" customHeight="1">
      <x:c r="A2" s="7" t="str">
        <x:v>Enter the Tester ID from Tester Plan. Tester name, assigned course and expected status populate automatically. Update only progress, evidence and possible-blocker fields; use this sheet for coordination, not as a course-quality score.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</x:row>
    <x:row r="3">
      <x:c r="A3" s="41" t="str">
        <x:v>Expected</x:v>
      </x:c>
      <x:c r="B3" s="42" t="n">
        <x:f>COUNTIF('Progress_Monitor'!D7:D56,"Yes")</x:f>
        <x:v>0</x:v>
      </x:c>
      <x:c r="C3" s="40"/>
      <x:c r="D3" s="41" t="str">
        <x:v>Started</x:v>
      </x:c>
      <x:c r="E3" s="42" t="n">
        <x:f>COUNTIF('Progress_Monitor'!G7:G56,"Yes")</x:f>
        <x:v>0</x:v>
      </x:c>
      <x:c r="F3" s="40"/>
      <x:c r="G3" s="41" t="str">
        <x:v>Completed</x:v>
      </x:c>
      <x:c r="H3" s="42" t="n">
        <x:f>COUNTIF('Progress_Monitor'!I7:I56,"Yes")</x:f>
        <x:v>0</x:v>
      </x:c>
      <x:c r="I3" s="40"/>
      <x:c r="J3" s="41" t="str">
        <x:v>Final Reviews received</x:v>
      </x:c>
      <x:c r="K3" s="42" t="n">
        <x:f>COUNTIF('Progress_Monitor'!N7:N56,"Yes")</x:f>
        <x:v>0</x:v>
      </x:c>
      <x:c r="L3" s="40"/>
      <x:c r="M3" s="43" t="str">
        <x:v>Unresolved possible blockers</x:v>
      </x:c>
      <x:c r="N3" s="44" t="n">
        <x:f>COUNTIF('Progress_Monitor'!O7:O56,"Yes")</x:f>
        <x:v>0</x:v>
      </x:c>
      <x:c r="O3" s="40"/>
      <x:c r="P3" s="40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</x:row>
    <x:row r="6" ht="32" customHeight="1">
      <x:c r="A6" s="15" t="str">
        <x:v>Tester ID</x:v>
      </x:c>
      <x:c r="B6" s="15" t="str">
        <x:v>Tester name</x:v>
      </x:c>
      <x:c r="C6" s="15" t="str">
        <x:v>Assigned course</x:v>
      </x:c>
      <x:c r="D6" s="15" t="str">
        <x:v>Expected</x:v>
      </x:c>
      <x:c r="E6" s="15" t="str">
        <x:v>Registered</x:v>
      </x:c>
      <x:c r="F6" s="15" t="str">
        <x:v>Activated</x:v>
      </x:c>
      <x:c r="G6" s="15" t="str">
        <x:v>Started</x:v>
      </x:c>
      <x:c r="H6" s="15" t="str">
        <x:v>Progress status</x:v>
      </x:c>
      <x:c r="I6" s="15" t="str">
        <x:v>Completed</x:v>
      </x:c>
      <x:c r="J6" s="15" t="str">
        <x:v>Assessment completed</x:v>
      </x:c>
      <x:c r="K6" s="15" t="str">
        <x:v>Certificate reached</x:v>
      </x:c>
      <x:c r="L6" s="15" t="str">
        <x:v>Quick Finding count</x:v>
      </x:c>
      <x:c r="M6" s="15" t="str">
        <x:v>Latest Quick Finding date</x:v>
      </x:c>
      <x:c r="N6" s="15" t="str">
        <x:v>Final Review received</x:v>
      </x:c>
      <x:c r="O6" s="15" t="str">
        <x:v>Unresolved possible blocker</x:v>
      </x:c>
      <x:c r="P6" s="15" t="str">
        <x:v>Coordinator note</x:v>
      </x:c>
    </x:row>
    <x:row r="7">
      <x:c r="A7" s="19"/>
      <x:c r="B7" s="20" t="str">
        <x:f>IF(A7="","",IFERROR(INDEX('Tester_Plan'!$B$6:$B$55,MATCH(A7,'Tester_Plan'!$A$6:$A$55,0)),"CHECK TESTER ID"))</x:f>
      </x:c>
      <x:c r="C7" s="20" t="str">
        <x:f>IF(A7="","",IFERROR(INDEX('Tester_Plan'!$D$6:$D$55,MATCH(A7,'Tester_Plan'!$A$6:$A$55,0)),"CHECK TESTER ID"))</x:f>
      </x:c>
      <x:c r="D7" s="20" t="str">
        <x:f>IF(A7="","",IF(COUNTIF('Tester_Plan'!$A$6:$A$55,A7)&gt;0,"Yes","No"))</x:f>
      </x:c>
      <x:c r="E7" s="20"/>
      <x:c r="F7" s="20"/>
      <x:c r="G7" s="20"/>
      <x:c r="H7" s="20"/>
      <x:c r="I7" s="20"/>
      <x:c r="J7" s="20"/>
      <x:c r="K7" s="20"/>
      <x:c r="L7" s="35"/>
      <x:c r="M7" s="28"/>
      <x:c r="N7" s="20"/>
      <x:c r="O7" s="20"/>
      <x:c r="P7" s="21"/>
    </x:row>
    <x:row r="8">
      <x:c r="A8" s="22"/>
      <x:c r="B8" s="23" t="str">
        <x:f>IF(A8="","",IFERROR(INDEX('Tester_Plan'!$B$6:$B$55,MATCH(A8,'Tester_Plan'!$A$6:$A$55,0)),"CHECK TESTER ID"))</x:f>
      </x:c>
      <x:c r="C8" s="23" t="str">
        <x:f>IF(A8="","",IFERROR(INDEX('Tester_Plan'!$D$6:$D$55,MATCH(A8,'Tester_Plan'!$A$6:$A$55,0)),"CHECK TESTER ID"))</x:f>
      </x:c>
      <x:c r="D8" s="23" t="str">
        <x:f>IF(A8="","",IF(COUNTIF('Tester_Plan'!$A$6:$A$55,A8)&gt;0,"Yes","No"))</x:f>
      </x:c>
      <x:c r="E8" s="23"/>
      <x:c r="F8" s="23"/>
      <x:c r="G8" s="23"/>
      <x:c r="H8" s="23"/>
      <x:c r="I8" s="23"/>
      <x:c r="J8" s="23"/>
      <x:c r="K8" s="23"/>
      <x:c r="L8" s="36"/>
      <x:c r="M8" s="29"/>
      <x:c r="N8" s="23"/>
      <x:c r="O8" s="23"/>
      <x:c r="P8" s="24"/>
    </x:row>
    <x:row r="9">
      <x:c r="A9" s="22"/>
      <x:c r="B9" s="23" t="str">
        <x:f>IF(A9="","",IFERROR(INDEX('Tester_Plan'!$B$6:$B$55,MATCH(A9,'Tester_Plan'!$A$6:$A$55,0)),"CHECK TESTER ID"))</x:f>
      </x:c>
      <x:c r="C9" s="23" t="str">
        <x:f>IF(A9="","",IFERROR(INDEX('Tester_Plan'!$D$6:$D$55,MATCH(A9,'Tester_Plan'!$A$6:$A$55,0)),"CHECK TESTER ID"))</x:f>
      </x:c>
      <x:c r="D9" s="23" t="str">
        <x:f>IF(A9="","",IF(COUNTIF('Tester_Plan'!$A$6:$A$55,A9)&gt;0,"Yes","No"))</x:f>
      </x:c>
      <x:c r="E9" s="23"/>
      <x:c r="F9" s="23"/>
      <x:c r="G9" s="23"/>
      <x:c r="H9" s="23"/>
      <x:c r="I9" s="23"/>
      <x:c r="J9" s="23"/>
      <x:c r="K9" s="23"/>
      <x:c r="L9" s="36"/>
      <x:c r="M9" s="29"/>
      <x:c r="N9" s="23"/>
      <x:c r="O9" s="23"/>
      <x:c r="P9" s="24"/>
    </x:row>
    <x:row r="10">
      <x:c r="A10" s="22"/>
      <x:c r="B10" s="23" t="str">
        <x:f>IF(A10="","",IFERROR(INDEX('Tester_Plan'!$B$6:$B$55,MATCH(A10,'Tester_Plan'!$A$6:$A$55,0)),"CHECK TESTER ID"))</x:f>
      </x:c>
      <x:c r="C10" s="23" t="str">
        <x:f>IF(A10="","",IFERROR(INDEX('Tester_Plan'!$D$6:$D$55,MATCH(A10,'Tester_Plan'!$A$6:$A$55,0)),"CHECK TESTER ID"))</x:f>
      </x:c>
      <x:c r="D10" s="23" t="str">
        <x:f>IF(A10="","",IF(COUNTIF('Tester_Plan'!$A$6:$A$55,A10)&gt;0,"Yes","No"))</x:f>
      </x:c>
      <x:c r="E10" s="23"/>
      <x:c r="F10" s="23"/>
      <x:c r="G10" s="23"/>
      <x:c r="H10" s="23"/>
      <x:c r="I10" s="23"/>
      <x:c r="J10" s="23"/>
      <x:c r="K10" s="23"/>
      <x:c r="L10" s="36"/>
      <x:c r="M10" s="29"/>
      <x:c r="N10" s="23"/>
      <x:c r="O10" s="23"/>
      <x:c r="P10" s="24"/>
    </x:row>
    <x:row r="11">
      <x:c r="A11" s="22"/>
      <x:c r="B11" s="23" t="str">
        <x:f>IF(A11="","",IFERROR(INDEX('Tester_Plan'!$B$6:$B$55,MATCH(A11,'Tester_Plan'!$A$6:$A$55,0)),"CHECK TESTER ID"))</x:f>
      </x:c>
      <x:c r="C11" s="23" t="str">
        <x:f>IF(A11="","",IFERROR(INDEX('Tester_Plan'!$D$6:$D$55,MATCH(A11,'Tester_Plan'!$A$6:$A$55,0)),"CHECK TESTER ID"))</x:f>
      </x:c>
      <x:c r="D11" s="23" t="str">
        <x:f>IF(A11="","",IF(COUNTIF('Tester_Plan'!$A$6:$A$55,A11)&gt;0,"Yes","No"))</x:f>
      </x:c>
      <x:c r="E11" s="23"/>
      <x:c r="F11" s="23"/>
      <x:c r="G11" s="23"/>
      <x:c r="H11" s="23"/>
      <x:c r="I11" s="23"/>
      <x:c r="J11" s="23"/>
      <x:c r="K11" s="23"/>
      <x:c r="L11" s="36"/>
      <x:c r="M11" s="29"/>
      <x:c r="N11" s="23"/>
      <x:c r="O11" s="23"/>
      <x:c r="P11" s="24"/>
    </x:row>
    <x:row r="12">
      <x:c r="A12" s="22"/>
      <x:c r="B12" s="23" t="str">
        <x:f>IF(A12="","",IFERROR(INDEX('Tester_Plan'!$B$6:$B$55,MATCH(A12,'Tester_Plan'!$A$6:$A$55,0)),"CHECK TESTER ID"))</x:f>
      </x:c>
      <x:c r="C12" s="23" t="str">
        <x:f>IF(A12="","",IFERROR(INDEX('Tester_Plan'!$D$6:$D$55,MATCH(A12,'Tester_Plan'!$A$6:$A$55,0)),"CHECK TESTER ID"))</x:f>
      </x:c>
      <x:c r="D12" s="23" t="str">
        <x:f>IF(A12="","",IF(COUNTIF('Tester_Plan'!$A$6:$A$55,A12)&gt;0,"Yes","No"))</x:f>
      </x:c>
      <x:c r="E12" s="23"/>
      <x:c r="F12" s="23"/>
      <x:c r="G12" s="23"/>
      <x:c r="H12" s="23"/>
      <x:c r="I12" s="23"/>
      <x:c r="J12" s="23"/>
      <x:c r="K12" s="23"/>
      <x:c r="L12" s="36"/>
      <x:c r="M12" s="29"/>
      <x:c r="N12" s="23"/>
      <x:c r="O12" s="23"/>
      <x:c r="P12" s="24"/>
    </x:row>
    <x:row r="13">
      <x:c r="A13" s="22"/>
      <x:c r="B13" s="23" t="str">
        <x:f>IF(A13="","",IFERROR(INDEX('Tester_Plan'!$B$6:$B$55,MATCH(A13,'Tester_Plan'!$A$6:$A$55,0)),"CHECK TESTER ID"))</x:f>
      </x:c>
      <x:c r="C13" s="23" t="str">
        <x:f>IF(A13="","",IFERROR(INDEX('Tester_Plan'!$D$6:$D$55,MATCH(A13,'Tester_Plan'!$A$6:$A$55,0)),"CHECK TESTER ID"))</x:f>
      </x:c>
      <x:c r="D13" s="23" t="str">
        <x:f>IF(A13="","",IF(COUNTIF('Tester_Plan'!$A$6:$A$55,A13)&gt;0,"Yes","No"))</x:f>
      </x:c>
      <x:c r="E13" s="23"/>
      <x:c r="F13" s="23"/>
      <x:c r="G13" s="23"/>
      <x:c r="H13" s="23"/>
      <x:c r="I13" s="23"/>
      <x:c r="J13" s="23"/>
      <x:c r="K13" s="23"/>
      <x:c r="L13" s="36"/>
      <x:c r="M13" s="29"/>
      <x:c r="N13" s="23"/>
      <x:c r="O13" s="23"/>
      <x:c r="P13" s="24"/>
    </x:row>
    <x:row r="14">
      <x:c r="A14" s="22"/>
      <x:c r="B14" s="23" t="str">
        <x:f>IF(A14="","",IFERROR(INDEX('Tester_Plan'!$B$6:$B$55,MATCH(A14,'Tester_Plan'!$A$6:$A$55,0)),"CHECK TESTER ID"))</x:f>
      </x:c>
      <x:c r="C14" s="23" t="str">
        <x:f>IF(A14="","",IFERROR(INDEX('Tester_Plan'!$D$6:$D$55,MATCH(A14,'Tester_Plan'!$A$6:$A$55,0)),"CHECK TESTER ID"))</x:f>
      </x:c>
      <x:c r="D14" s="23" t="str">
        <x:f>IF(A14="","",IF(COUNTIF('Tester_Plan'!$A$6:$A$55,A14)&gt;0,"Yes","No"))</x:f>
      </x:c>
      <x:c r="E14" s="23"/>
      <x:c r="F14" s="23"/>
      <x:c r="G14" s="23"/>
      <x:c r="H14" s="23"/>
      <x:c r="I14" s="23"/>
      <x:c r="J14" s="23"/>
      <x:c r="K14" s="23"/>
      <x:c r="L14" s="36"/>
      <x:c r="M14" s="29"/>
      <x:c r="N14" s="23"/>
      <x:c r="O14" s="23"/>
      <x:c r="P14" s="24"/>
    </x:row>
    <x:row r="15">
      <x:c r="A15" s="22"/>
      <x:c r="B15" s="23" t="str">
        <x:f>IF(A15="","",IFERROR(INDEX('Tester_Plan'!$B$6:$B$55,MATCH(A15,'Tester_Plan'!$A$6:$A$55,0)),"CHECK TESTER ID"))</x:f>
      </x:c>
      <x:c r="C15" s="23" t="str">
        <x:f>IF(A15="","",IFERROR(INDEX('Tester_Plan'!$D$6:$D$55,MATCH(A15,'Tester_Plan'!$A$6:$A$55,0)),"CHECK TESTER ID"))</x:f>
      </x:c>
      <x:c r="D15" s="23" t="str">
        <x:f>IF(A15="","",IF(COUNTIF('Tester_Plan'!$A$6:$A$55,A15)&gt;0,"Yes","No"))</x:f>
      </x:c>
      <x:c r="E15" s="23"/>
      <x:c r="F15" s="23"/>
      <x:c r="G15" s="23"/>
      <x:c r="H15" s="23"/>
      <x:c r="I15" s="23"/>
      <x:c r="J15" s="23"/>
      <x:c r="K15" s="23"/>
      <x:c r="L15" s="36"/>
      <x:c r="M15" s="29"/>
      <x:c r="N15" s="23"/>
      <x:c r="O15" s="23"/>
      <x:c r="P15" s="24"/>
    </x:row>
    <x:row r="16">
      <x:c r="A16" s="22"/>
      <x:c r="B16" s="23" t="str">
        <x:f>IF(A16="","",IFERROR(INDEX('Tester_Plan'!$B$6:$B$55,MATCH(A16,'Tester_Plan'!$A$6:$A$55,0)),"CHECK TESTER ID"))</x:f>
      </x:c>
      <x:c r="C16" s="23" t="str">
        <x:f>IF(A16="","",IFERROR(INDEX('Tester_Plan'!$D$6:$D$55,MATCH(A16,'Tester_Plan'!$A$6:$A$55,0)),"CHECK TESTER ID"))</x:f>
      </x:c>
      <x:c r="D16" s="23" t="str">
        <x:f>IF(A16="","",IF(COUNTIF('Tester_Plan'!$A$6:$A$55,A16)&gt;0,"Yes","No"))</x:f>
      </x:c>
      <x:c r="E16" s="23"/>
      <x:c r="F16" s="23"/>
      <x:c r="G16" s="23"/>
      <x:c r="H16" s="23"/>
      <x:c r="I16" s="23"/>
      <x:c r="J16" s="23"/>
      <x:c r="K16" s="23"/>
      <x:c r="L16" s="36"/>
      <x:c r="M16" s="29"/>
      <x:c r="N16" s="23"/>
      <x:c r="O16" s="23"/>
      <x:c r="P16" s="24"/>
    </x:row>
    <x:row r="17">
      <x:c r="A17" s="22"/>
      <x:c r="B17" s="23" t="str">
        <x:f>IF(A17="","",IFERROR(INDEX('Tester_Plan'!$B$6:$B$55,MATCH(A17,'Tester_Plan'!$A$6:$A$55,0)),"CHECK TESTER ID"))</x:f>
      </x:c>
      <x:c r="C17" s="23" t="str">
        <x:f>IF(A17="","",IFERROR(INDEX('Tester_Plan'!$D$6:$D$55,MATCH(A17,'Tester_Plan'!$A$6:$A$55,0)),"CHECK TESTER ID"))</x:f>
      </x:c>
      <x:c r="D17" s="23" t="str">
        <x:f>IF(A17="","",IF(COUNTIF('Tester_Plan'!$A$6:$A$55,A17)&gt;0,"Yes","No"))</x:f>
      </x:c>
      <x:c r="E17" s="23"/>
      <x:c r="F17" s="23"/>
      <x:c r="G17" s="23"/>
      <x:c r="H17" s="23"/>
      <x:c r="I17" s="23"/>
      <x:c r="J17" s="23"/>
      <x:c r="K17" s="23"/>
      <x:c r="L17" s="36"/>
      <x:c r="M17" s="29"/>
      <x:c r="N17" s="23"/>
      <x:c r="O17" s="23"/>
      <x:c r="P17" s="24"/>
    </x:row>
    <x:row r="18">
      <x:c r="A18" s="22"/>
      <x:c r="B18" s="23" t="str">
        <x:f>IF(A18="","",IFERROR(INDEX('Tester_Plan'!$B$6:$B$55,MATCH(A18,'Tester_Plan'!$A$6:$A$55,0)),"CHECK TESTER ID"))</x:f>
      </x:c>
      <x:c r="C18" s="23" t="str">
        <x:f>IF(A18="","",IFERROR(INDEX('Tester_Plan'!$D$6:$D$55,MATCH(A18,'Tester_Plan'!$A$6:$A$55,0)),"CHECK TESTER ID"))</x:f>
      </x:c>
      <x:c r="D18" s="23" t="str">
        <x:f>IF(A18="","",IF(COUNTIF('Tester_Plan'!$A$6:$A$55,A18)&gt;0,"Yes","No"))</x:f>
      </x:c>
      <x:c r="E18" s="23"/>
      <x:c r="F18" s="23"/>
      <x:c r="G18" s="23"/>
      <x:c r="H18" s="23"/>
      <x:c r="I18" s="23"/>
      <x:c r="J18" s="23"/>
      <x:c r="K18" s="23"/>
      <x:c r="L18" s="36"/>
      <x:c r="M18" s="29"/>
      <x:c r="N18" s="23"/>
      <x:c r="O18" s="23"/>
      <x:c r="P18" s="24"/>
    </x:row>
    <x:row r="19">
      <x:c r="A19" s="22"/>
      <x:c r="B19" s="23" t="str">
        <x:f>IF(A19="","",IFERROR(INDEX('Tester_Plan'!$B$6:$B$55,MATCH(A19,'Tester_Plan'!$A$6:$A$55,0)),"CHECK TESTER ID"))</x:f>
      </x:c>
      <x:c r="C19" s="23" t="str">
        <x:f>IF(A19="","",IFERROR(INDEX('Tester_Plan'!$D$6:$D$55,MATCH(A19,'Tester_Plan'!$A$6:$A$55,0)),"CHECK TESTER ID"))</x:f>
      </x:c>
      <x:c r="D19" s="23" t="str">
        <x:f>IF(A19="","",IF(COUNTIF('Tester_Plan'!$A$6:$A$55,A19)&gt;0,"Yes","No"))</x:f>
      </x:c>
      <x:c r="E19" s="23"/>
      <x:c r="F19" s="23"/>
      <x:c r="G19" s="23"/>
      <x:c r="H19" s="23"/>
      <x:c r="I19" s="23"/>
      <x:c r="J19" s="23"/>
      <x:c r="K19" s="23"/>
      <x:c r="L19" s="36"/>
      <x:c r="M19" s="29"/>
      <x:c r="N19" s="23"/>
      <x:c r="O19" s="23"/>
      <x:c r="P19" s="24"/>
    </x:row>
    <x:row r="20">
      <x:c r="A20" s="22"/>
      <x:c r="B20" s="23" t="str">
        <x:f>IF(A20="","",IFERROR(INDEX('Tester_Plan'!$B$6:$B$55,MATCH(A20,'Tester_Plan'!$A$6:$A$55,0)),"CHECK TESTER ID"))</x:f>
      </x:c>
      <x:c r="C20" s="23" t="str">
        <x:f>IF(A20="","",IFERROR(INDEX('Tester_Plan'!$D$6:$D$55,MATCH(A20,'Tester_Plan'!$A$6:$A$55,0)),"CHECK TESTER ID"))</x:f>
      </x:c>
      <x:c r="D20" s="23" t="str">
        <x:f>IF(A20="","",IF(COUNTIF('Tester_Plan'!$A$6:$A$55,A20)&gt;0,"Yes","No"))</x:f>
      </x:c>
      <x:c r="E20" s="23"/>
      <x:c r="F20" s="23"/>
      <x:c r="G20" s="23"/>
      <x:c r="H20" s="23"/>
      <x:c r="I20" s="23"/>
      <x:c r="J20" s="23"/>
      <x:c r="K20" s="23"/>
      <x:c r="L20" s="36"/>
      <x:c r="M20" s="29"/>
      <x:c r="N20" s="23"/>
      <x:c r="O20" s="23"/>
      <x:c r="P20" s="24"/>
    </x:row>
    <x:row r="21">
      <x:c r="A21" s="22"/>
      <x:c r="B21" s="23" t="str">
        <x:f>IF(A21="","",IFERROR(INDEX('Tester_Plan'!$B$6:$B$55,MATCH(A21,'Tester_Plan'!$A$6:$A$55,0)),"CHECK TESTER ID"))</x:f>
      </x:c>
      <x:c r="C21" s="23" t="str">
        <x:f>IF(A21="","",IFERROR(INDEX('Tester_Plan'!$D$6:$D$55,MATCH(A21,'Tester_Plan'!$A$6:$A$55,0)),"CHECK TESTER ID"))</x:f>
      </x:c>
      <x:c r="D21" s="23" t="str">
        <x:f>IF(A21="","",IF(COUNTIF('Tester_Plan'!$A$6:$A$55,A21)&gt;0,"Yes","No"))</x:f>
      </x:c>
      <x:c r="E21" s="23"/>
      <x:c r="F21" s="23"/>
      <x:c r="G21" s="23"/>
      <x:c r="H21" s="23"/>
      <x:c r="I21" s="23"/>
      <x:c r="J21" s="23"/>
      <x:c r="K21" s="23"/>
      <x:c r="L21" s="36"/>
      <x:c r="M21" s="29"/>
      <x:c r="N21" s="23"/>
      <x:c r="O21" s="23"/>
      <x:c r="P21" s="24"/>
    </x:row>
    <x:row r="22">
      <x:c r="A22" s="22"/>
      <x:c r="B22" s="23" t="str">
        <x:f>IF(A22="","",IFERROR(INDEX('Tester_Plan'!$B$6:$B$55,MATCH(A22,'Tester_Plan'!$A$6:$A$55,0)),"CHECK TESTER ID"))</x:f>
      </x:c>
      <x:c r="C22" s="23" t="str">
        <x:f>IF(A22="","",IFERROR(INDEX('Tester_Plan'!$D$6:$D$55,MATCH(A22,'Tester_Plan'!$A$6:$A$55,0)),"CHECK TESTER ID"))</x:f>
      </x:c>
      <x:c r="D22" s="23" t="str">
        <x:f>IF(A22="","",IF(COUNTIF('Tester_Plan'!$A$6:$A$55,A22)&gt;0,"Yes","No"))</x:f>
      </x:c>
      <x:c r="E22" s="23"/>
      <x:c r="F22" s="23"/>
      <x:c r="G22" s="23"/>
      <x:c r="H22" s="23"/>
      <x:c r="I22" s="23"/>
      <x:c r="J22" s="23"/>
      <x:c r="K22" s="23"/>
      <x:c r="L22" s="36"/>
      <x:c r="M22" s="29"/>
      <x:c r="N22" s="23"/>
      <x:c r="O22" s="23"/>
      <x:c r="P22" s="24"/>
    </x:row>
    <x:row r="23">
      <x:c r="A23" s="22"/>
      <x:c r="B23" s="23" t="str">
        <x:f>IF(A23="","",IFERROR(INDEX('Tester_Plan'!$B$6:$B$55,MATCH(A23,'Tester_Plan'!$A$6:$A$55,0)),"CHECK TESTER ID"))</x:f>
      </x:c>
      <x:c r="C23" s="23" t="str">
        <x:f>IF(A23="","",IFERROR(INDEX('Tester_Plan'!$D$6:$D$55,MATCH(A23,'Tester_Plan'!$A$6:$A$55,0)),"CHECK TESTER ID"))</x:f>
      </x:c>
      <x:c r="D23" s="23" t="str">
        <x:f>IF(A23="","",IF(COUNTIF('Tester_Plan'!$A$6:$A$55,A23)&gt;0,"Yes","No"))</x:f>
      </x:c>
      <x:c r="E23" s="23"/>
      <x:c r="F23" s="23"/>
      <x:c r="G23" s="23"/>
      <x:c r="H23" s="23"/>
      <x:c r="I23" s="23"/>
      <x:c r="J23" s="23"/>
      <x:c r="K23" s="23"/>
      <x:c r="L23" s="36"/>
      <x:c r="M23" s="29"/>
      <x:c r="N23" s="23"/>
      <x:c r="O23" s="23"/>
      <x:c r="P23" s="24"/>
    </x:row>
    <x:row r="24">
      <x:c r="A24" s="22"/>
      <x:c r="B24" s="23" t="str">
        <x:f>IF(A24="","",IFERROR(INDEX('Tester_Plan'!$B$6:$B$55,MATCH(A24,'Tester_Plan'!$A$6:$A$55,0)),"CHECK TESTER ID"))</x:f>
      </x:c>
      <x:c r="C24" s="23" t="str">
        <x:f>IF(A24="","",IFERROR(INDEX('Tester_Plan'!$D$6:$D$55,MATCH(A24,'Tester_Plan'!$A$6:$A$55,0)),"CHECK TESTER ID"))</x:f>
      </x:c>
      <x:c r="D24" s="23" t="str">
        <x:f>IF(A24="","",IF(COUNTIF('Tester_Plan'!$A$6:$A$55,A24)&gt;0,"Yes","No"))</x:f>
      </x:c>
      <x:c r="E24" s="23"/>
      <x:c r="F24" s="23"/>
      <x:c r="G24" s="23"/>
      <x:c r="H24" s="23"/>
      <x:c r="I24" s="23"/>
      <x:c r="J24" s="23"/>
      <x:c r="K24" s="23"/>
      <x:c r="L24" s="36"/>
      <x:c r="M24" s="29"/>
      <x:c r="N24" s="23"/>
      <x:c r="O24" s="23"/>
      <x:c r="P24" s="24"/>
    </x:row>
    <x:row r="25">
      <x:c r="A25" s="22"/>
      <x:c r="B25" s="23" t="str">
        <x:f>IF(A25="","",IFERROR(INDEX('Tester_Plan'!$B$6:$B$55,MATCH(A25,'Tester_Plan'!$A$6:$A$55,0)),"CHECK TESTER ID"))</x:f>
      </x:c>
      <x:c r="C25" s="23" t="str">
        <x:f>IF(A25="","",IFERROR(INDEX('Tester_Plan'!$D$6:$D$55,MATCH(A25,'Tester_Plan'!$A$6:$A$55,0)),"CHECK TESTER ID"))</x:f>
      </x:c>
      <x:c r="D25" s="23" t="str">
        <x:f>IF(A25="","",IF(COUNTIF('Tester_Plan'!$A$6:$A$55,A25)&gt;0,"Yes","No"))</x:f>
      </x:c>
      <x:c r="E25" s="23"/>
      <x:c r="F25" s="23"/>
      <x:c r="G25" s="23"/>
      <x:c r="H25" s="23"/>
      <x:c r="I25" s="23"/>
      <x:c r="J25" s="23"/>
      <x:c r="K25" s="23"/>
      <x:c r="L25" s="36"/>
      <x:c r="M25" s="29"/>
      <x:c r="N25" s="23"/>
      <x:c r="O25" s="23"/>
      <x:c r="P25" s="24"/>
    </x:row>
    <x:row r="26">
      <x:c r="A26" s="22"/>
      <x:c r="B26" s="23" t="str">
        <x:f>IF(A26="","",IFERROR(INDEX('Tester_Plan'!$B$6:$B$55,MATCH(A26,'Tester_Plan'!$A$6:$A$55,0)),"CHECK TESTER ID"))</x:f>
      </x:c>
      <x:c r="C26" s="23" t="str">
        <x:f>IF(A26="","",IFERROR(INDEX('Tester_Plan'!$D$6:$D$55,MATCH(A26,'Tester_Plan'!$A$6:$A$55,0)),"CHECK TESTER ID"))</x:f>
      </x:c>
      <x:c r="D26" s="23" t="str">
        <x:f>IF(A26="","",IF(COUNTIF('Tester_Plan'!$A$6:$A$55,A26)&gt;0,"Yes","No"))</x:f>
      </x:c>
      <x:c r="E26" s="23"/>
      <x:c r="F26" s="23"/>
      <x:c r="G26" s="23"/>
      <x:c r="H26" s="23"/>
      <x:c r="I26" s="23"/>
      <x:c r="J26" s="23"/>
      <x:c r="K26" s="23"/>
      <x:c r="L26" s="36"/>
      <x:c r="M26" s="29"/>
      <x:c r="N26" s="23"/>
      <x:c r="O26" s="23"/>
      <x:c r="P26" s="24"/>
    </x:row>
    <x:row r="27">
      <x:c r="A27" s="22"/>
      <x:c r="B27" s="23" t="str">
        <x:f>IF(A27="","",IFERROR(INDEX('Tester_Plan'!$B$6:$B$55,MATCH(A27,'Tester_Plan'!$A$6:$A$55,0)),"CHECK TESTER ID"))</x:f>
      </x:c>
      <x:c r="C27" s="23" t="str">
        <x:f>IF(A27="","",IFERROR(INDEX('Tester_Plan'!$D$6:$D$55,MATCH(A27,'Tester_Plan'!$A$6:$A$55,0)),"CHECK TESTER ID"))</x:f>
      </x:c>
      <x:c r="D27" s="23" t="str">
        <x:f>IF(A27="","",IF(COUNTIF('Tester_Plan'!$A$6:$A$55,A27)&gt;0,"Yes","No"))</x:f>
      </x:c>
      <x:c r="E27" s="23"/>
      <x:c r="F27" s="23"/>
      <x:c r="G27" s="23"/>
      <x:c r="H27" s="23"/>
      <x:c r="I27" s="23"/>
      <x:c r="J27" s="23"/>
      <x:c r="K27" s="23"/>
      <x:c r="L27" s="36"/>
      <x:c r="M27" s="29"/>
      <x:c r="N27" s="23"/>
      <x:c r="O27" s="23"/>
      <x:c r="P27" s="24"/>
    </x:row>
    <x:row r="28">
      <x:c r="A28" s="22"/>
      <x:c r="B28" s="23" t="str">
        <x:f>IF(A28="","",IFERROR(INDEX('Tester_Plan'!$B$6:$B$55,MATCH(A28,'Tester_Plan'!$A$6:$A$55,0)),"CHECK TESTER ID"))</x:f>
      </x:c>
      <x:c r="C28" s="23" t="str">
        <x:f>IF(A28="","",IFERROR(INDEX('Tester_Plan'!$D$6:$D$55,MATCH(A28,'Tester_Plan'!$A$6:$A$55,0)),"CHECK TESTER ID"))</x:f>
      </x:c>
      <x:c r="D28" s="23" t="str">
        <x:f>IF(A28="","",IF(COUNTIF('Tester_Plan'!$A$6:$A$55,A28)&gt;0,"Yes","No"))</x:f>
      </x:c>
      <x:c r="E28" s="23"/>
      <x:c r="F28" s="23"/>
      <x:c r="G28" s="23"/>
      <x:c r="H28" s="23"/>
      <x:c r="I28" s="23"/>
      <x:c r="J28" s="23"/>
      <x:c r="K28" s="23"/>
      <x:c r="L28" s="36"/>
      <x:c r="M28" s="29"/>
      <x:c r="N28" s="23"/>
      <x:c r="O28" s="23"/>
      <x:c r="P28" s="24"/>
    </x:row>
    <x:row r="29">
      <x:c r="A29" s="22"/>
      <x:c r="B29" s="23" t="str">
        <x:f>IF(A29="","",IFERROR(INDEX('Tester_Plan'!$B$6:$B$55,MATCH(A29,'Tester_Plan'!$A$6:$A$55,0)),"CHECK TESTER ID"))</x:f>
      </x:c>
      <x:c r="C29" s="23" t="str">
        <x:f>IF(A29="","",IFERROR(INDEX('Tester_Plan'!$D$6:$D$55,MATCH(A29,'Tester_Plan'!$A$6:$A$55,0)),"CHECK TESTER ID"))</x:f>
      </x:c>
      <x:c r="D29" s="23" t="str">
        <x:f>IF(A29="","",IF(COUNTIF('Tester_Plan'!$A$6:$A$55,A29)&gt;0,"Yes","No"))</x:f>
      </x:c>
      <x:c r="E29" s="23"/>
      <x:c r="F29" s="23"/>
      <x:c r="G29" s="23"/>
      <x:c r="H29" s="23"/>
      <x:c r="I29" s="23"/>
      <x:c r="J29" s="23"/>
      <x:c r="K29" s="23"/>
      <x:c r="L29" s="36"/>
      <x:c r="M29" s="29"/>
      <x:c r="N29" s="23"/>
      <x:c r="O29" s="23"/>
      <x:c r="P29" s="24"/>
    </x:row>
    <x:row r="30">
      <x:c r="A30" s="22"/>
      <x:c r="B30" s="23" t="str">
        <x:f>IF(A30="","",IFERROR(INDEX('Tester_Plan'!$B$6:$B$55,MATCH(A30,'Tester_Plan'!$A$6:$A$55,0)),"CHECK TESTER ID"))</x:f>
      </x:c>
      <x:c r="C30" s="23" t="str">
        <x:f>IF(A30="","",IFERROR(INDEX('Tester_Plan'!$D$6:$D$55,MATCH(A30,'Tester_Plan'!$A$6:$A$55,0)),"CHECK TESTER ID"))</x:f>
      </x:c>
      <x:c r="D30" s="23" t="str">
        <x:f>IF(A30="","",IF(COUNTIF('Tester_Plan'!$A$6:$A$55,A30)&gt;0,"Yes","No"))</x:f>
      </x:c>
      <x:c r="E30" s="23"/>
      <x:c r="F30" s="23"/>
      <x:c r="G30" s="23"/>
      <x:c r="H30" s="23"/>
      <x:c r="I30" s="23"/>
      <x:c r="J30" s="23"/>
      <x:c r="K30" s="23"/>
      <x:c r="L30" s="36"/>
      <x:c r="M30" s="29"/>
      <x:c r="N30" s="23"/>
      <x:c r="O30" s="23"/>
      <x:c r="P30" s="24"/>
    </x:row>
    <x:row r="31">
      <x:c r="A31" s="22"/>
      <x:c r="B31" s="23" t="str">
        <x:f>IF(A31="","",IFERROR(INDEX('Tester_Plan'!$B$6:$B$55,MATCH(A31,'Tester_Plan'!$A$6:$A$55,0)),"CHECK TESTER ID"))</x:f>
      </x:c>
      <x:c r="C31" s="23" t="str">
        <x:f>IF(A31="","",IFERROR(INDEX('Tester_Plan'!$D$6:$D$55,MATCH(A31,'Tester_Plan'!$A$6:$A$55,0)),"CHECK TESTER ID"))</x:f>
      </x:c>
      <x:c r="D31" s="23" t="str">
        <x:f>IF(A31="","",IF(COUNTIF('Tester_Plan'!$A$6:$A$55,A31)&gt;0,"Yes","No"))</x:f>
      </x:c>
      <x:c r="E31" s="23"/>
      <x:c r="F31" s="23"/>
      <x:c r="G31" s="23"/>
      <x:c r="H31" s="23"/>
      <x:c r="I31" s="23"/>
      <x:c r="J31" s="23"/>
      <x:c r="K31" s="23"/>
      <x:c r="L31" s="36"/>
      <x:c r="M31" s="29"/>
      <x:c r="N31" s="23"/>
      <x:c r="O31" s="23"/>
      <x:c r="P31" s="24"/>
    </x:row>
    <x:row r="32">
      <x:c r="A32" s="22"/>
      <x:c r="B32" s="23" t="str">
        <x:f>IF(A32="","",IFERROR(INDEX('Tester_Plan'!$B$6:$B$55,MATCH(A32,'Tester_Plan'!$A$6:$A$55,0)),"CHECK TESTER ID"))</x:f>
      </x:c>
      <x:c r="C32" s="23" t="str">
        <x:f>IF(A32="","",IFERROR(INDEX('Tester_Plan'!$D$6:$D$55,MATCH(A32,'Tester_Plan'!$A$6:$A$55,0)),"CHECK TESTER ID"))</x:f>
      </x:c>
      <x:c r="D32" s="23" t="str">
        <x:f>IF(A32="","",IF(COUNTIF('Tester_Plan'!$A$6:$A$55,A32)&gt;0,"Yes","No"))</x:f>
      </x:c>
      <x:c r="E32" s="23"/>
      <x:c r="F32" s="23"/>
      <x:c r="G32" s="23"/>
      <x:c r="H32" s="23"/>
      <x:c r="I32" s="23"/>
      <x:c r="J32" s="23"/>
      <x:c r="K32" s="23"/>
      <x:c r="L32" s="36"/>
      <x:c r="M32" s="29"/>
      <x:c r="N32" s="23"/>
      <x:c r="O32" s="23"/>
      <x:c r="P32" s="24"/>
    </x:row>
    <x:row r="33">
      <x:c r="A33" s="22"/>
      <x:c r="B33" s="23" t="str">
        <x:f>IF(A33="","",IFERROR(INDEX('Tester_Plan'!$B$6:$B$55,MATCH(A33,'Tester_Plan'!$A$6:$A$55,0)),"CHECK TESTER ID"))</x:f>
      </x:c>
      <x:c r="C33" s="23" t="str">
        <x:f>IF(A33="","",IFERROR(INDEX('Tester_Plan'!$D$6:$D$55,MATCH(A33,'Tester_Plan'!$A$6:$A$55,0)),"CHECK TESTER ID"))</x:f>
      </x:c>
      <x:c r="D33" s="23" t="str">
        <x:f>IF(A33="","",IF(COUNTIF('Tester_Plan'!$A$6:$A$55,A33)&gt;0,"Yes","No"))</x:f>
      </x:c>
      <x:c r="E33" s="23"/>
      <x:c r="F33" s="23"/>
      <x:c r="G33" s="23"/>
      <x:c r="H33" s="23"/>
      <x:c r="I33" s="23"/>
      <x:c r="J33" s="23"/>
      <x:c r="K33" s="23"/>
      <x:c r="L33" s="36"/>
      <x:c r="M33" s="29"/>
      <x:c r="N33" s="23"/>
      <x:c r="O33" s="23"/>
      <x:c r="P33" s="24"/>
    </x:row>
    <x:row r="34">
      <x:c r="A34" s="22"/>
      <x:c r="B34" s="23" t="str">
        <x:f>IF(A34="","",IFERROR(INDEX('Tester_Plan'!$B$6:$B$55,MATCH(A34,'Tester_Plan'!$A$6:$A$55,0)),"CHECK TESTER ID"))</x:f>
      </x:c>
      <x:c r="C34" s="23" t="str">
        <x:f>IF(A34="","",IFERROR(INDEX('Tester_Plan'!$D$6:$D$55,MATCH(A34,'Tester_Plan'!$A$6:$A$55,0)),"CHECK TESTER ID"))</x:f>
      </x:c>
      <x:c r="D34" s="23" t="str">
        <x:f>IF(A34="","",IF(COUNTIF('Tester_Plan'!$A$6:$A$55,A34)&gt;0,"Yes","No"))</x:f>
      </x:c>
      <x:c r="E34" s="23"/>
      <x:c r="F34" s="23"/>
      <x:c r="G34" s="23"/>
      <x:c r="H34" s="23"/>
      <x:c r="I34" s="23"/>
      <x:c r="J34" s="23"/>
      <x:c r="K34" s="23"/>
      <x:c r="L34" s="36"/>
      <x:c r="M34" s="29"/>
      <x:c r="N34" s="23"/>
      <x:c r="O34" s="23"/>
      <x:c r="P34" s="24"/>
    </x:row>
    <x:row r="35">
      <x:c r="A35" s="22"/>
      <x:c r="B35" s="23" t="str">
        <x:f>IF(A35="","",IFERROR(INDEX('Tester_Plan'!$B$6:$B$55,MATCH(A35,'Tester_Plan'!$A$6:$A$55,0)),"CHECK TESTER ID"))</x:f>
      </x:c>
      <x:c r="C35" s="23" t="str">
        <x:f>IF(A35="","",IFERROR(INDEX('Tester_Plan'!$D$6:$D$55,MATCH(A35,'Tester_Plan'!$A$6:$A$55,0)),"CHECK TESTER ID"))</x:f>
      </x:c>
      <x:c r="D35" s="23" t="str">
        <x:f>IF(A35="","",IF(COUNTIF('Tester_Plan'!$A$6:$A$55,A35)&gt;0,"Yes","No"))</x:f>
      </x:c>
      <x:c r="E35" s="23"/>
      <x:c r="F35" s="23"/>
      <x:c r="G35" s="23"/>
      <x:c r="H35" s="23"/>
      <x:c r="I35" s="23"/>
      <x:c r="J35" s="23"/>
      <x:c r="K35" s="23"/>
      <x:c r="L35" s="36"/>
      <x:c r="M35" s="29"/>
      <x:c r="N35" s="23"/>
      <x:c r="O35" s="23"/>
      <x:c r="P35" s="24"/>
    </x:row>
    <x:row r="36">
      <x:c r="A36" s="22"/>
      <x:c r="B36" s="23" t="str">
        <x:f>IF(A36="","",IFERROR(INDEX('Tester_Plan'!$B$6:$B$55,MATCH(A36,'Tester_Plan'!$A$6:$A$55,0)),"CHECK TESTER ID"))</x:f>
      </x:c>
      <x:c r="C36" s="23" t="str">
        <x:f>IF(A36="","",IFERROR(INDEX('Tester_Plan'!$D$6:$D$55,MATCH(A36,'Tester_Plan'!$A$6:$A$55,0)),"CHECK TESTER ID"))</x:f>
      </x:c>
      <x:c r="D36" s="23" t="str">
        <x:f>IF(A36="","",IF(COUNTIF('Tester_Plan'!$A$6:$A$55,A36)&gt;0,"Yes","No"))</x:f>
      </x:c>
      <x:c r="E36" s="23"/>
      <x:c r="F36" s="23"/>
      <x:c r="G36" s="23"/>
      <x:c r="H36" s="23"/>
      <x:c r="I36" s="23"/>
      <x:c r="J36" s="23"/>
      <x:c r="K36" s="23"/>
      <x:c r="L36" s="36"/>
      <x:c r="M36" s="29"/>
      <x:c r="N36" s="23"/>
      <x:c r="O36" s="23"/>
      <x:c r="P36" s="24"/>
    </x:row>
    <x:row r="37">
      <x:c r="A37" s="22"/>
      <x:c r="B37" s="23" t="str">
        <x:f>IF(A37="","",IFERROR(INDEX('Tester_Plan'!$B$6:$B$55,MATCH(A37,'Tester_Plan'!$A$6:$A$55,0)),"CHECK TESTER ID"))</x:f>
      </x:c>
      <x:c r="C37" s="23" t="str">
        <x:f>IF(A37="","",IFERROR(INDEX('Tester_Plan'!$D$6:$D$55,MATCH(A37,'Tester_Plan'!$A$6:$A$55,0)),"CHECK TESTER ID"))</x:f>
      </x:c>
      <x:c r="D37" s="23" t="str">
        <x:f>IF(A37="","",IF(COUNTIF('Tester_Plan'!$A$6:$A$55,A37)&gt;0,"Yes","No"))</x:f>
      </x:c>
      <x:c r="E37" s="23"/>
      <x:c r="F37" s="23"/>
      <x:c r="G37" s="23"/>
      <x:c r="H37" s="23"/>
      <x:c r="I37" s="23"/>
      <x:c r="J37" s="23"/>
      <x:c r="K37" s="23"/>
      <x:c r="L37" s="36"/>
      <x:c r="M37" s="29"/>
      <x:c r="N37" s="23"/>
      <x:c r="O37" s="23"/>
      <x:c r="P37" s="24"/>
    </x:row>
    <x:row r="38">
      <x:c r="A38" s="22"/>
      <x:c r="B38" s="23" t="str">
        <x:f>IF(A38="","",IFERROR(INDEX('Tester_Plan'!$B$6:$B$55,MATCH(A38,'Tester_Plan'!$A$6:$A$55,0)),"CHECK TESTER ID"))</x:f>
      </x:c>
      <x:c r="C38" s="23" t="str">
        <x:f>IF(A38="","",IFERROR(INDEX('Tester_Plan'!$D$6:$D$55,MATCH(A38,'Tester_Plan'!$A$6:$A$55,0)),"CHECK TESTER ID"))</x:f>
      </x:c>
      <x:c r="D38" s="23" t="str">
        <x:f>IF(A38="","",IF(COUNTIF('Tester_Plan'!$A$6:$A$55,A38)&gt;0,"Yes","No"))</x:f>
      </x:c>
      <x:c r="E38" s="23"/>
      <x:c r="F38" s="23"/>
      <x:c r="G38" s="23"/>
      <x:c r="H38" s="23"/>
      <x:c r="I38" s="23"/>
      <x:c r="J38" s="23"/>
      <x:c r="K38" s="23"/>
      <x:c r="L38" s="36"/>
      <x:c r="M38" s="29"/>
      <x:c r="N38" s="23"/>
      <x:c r="O38" s="23"/>
      <x:c r="P38" s="24"/>
    </x:row>
    <x:row r="39">
      <x:c r="A39" s="22"/>
      <x:c r="B39" s="23" t="str">
        <x:f>IF(A39="","",IFERROR(INDEX('Tester_Plan'!$B$6:$B$55,MATCH(A39,'Tester_Plan'!$A$6:$A$55,0)),"CHECK TESTER ID"))</x:f>
      </x:c>
      <x:c r="C39" s="23" t="str">
        <x:f>IF(A39="","",IFERROR(INDEX('Tester_Plan'!$D$6:$D$55,MATCH(A39,'Tester_Plan'!$A$6:$A$55,0)),"CHECK TESTER ID"))</x:f>
      </x:c>
      <x:c r="D39" s="23" t="str">
        <x:f>IF(A39="","",IF(COUNTIF('Tester_Plan'!$A$6:$A$55,A39)&gt;0,"Yes","No"))</x:f>
      </x:c>
      <x:c r="E39" s="23"/>
      <x:c r="F39" s="23"/>
      <x:c r="G39" s="23"/>
      <x:c r="H39" s="23"/>
      <x:c r="I39" s="23"/>
      <x:c r="J39" s="23"/>
      <x:c r="K39" s="23"/>
      <x:c r="L39" s="36"/>
      <x:c r="M39" s="29"/>
      <x:c r="N39" s="23"/>
      <x:c r="O39" s="23"/>
      <x:c r="P39" s="24"/>
    </x:row>
    <x:row r="40">
      <x:c r="A40" s="22"/>
      <x:c r="B40" s="23" t="str">
        <x:f>IF(A40="","",IFERROR(INDEX('Tester_Plan'!$B$6:$B$55,MATCH(A40,'Tester_Plan'!$A$6:$A$55,0)),"CHECK TESTER ID"))</x:f>
      </x:c>
      <x:c r="C40" s="23" t="str">
        <x:f>IF(A40="","",IFERROR(INDEX('Tester_Plan'!$D$6:$D$55,MATCH(A40,'Tester_Plan'!$A$6:$A$55,0)),"CHECK TESTER ID"))</x:f>
      </x:c>
      <x:c r="D40" s="23" t="str">
        <x:f>IF(A40="","",IF(COUNTIF('Tester_Plan'!$A$6:$A$55,A40)&gt;0,"Yes","No"))</x:f>
      </x:c>
      <x:c r="E40" s="23"/>
      <x:c r="F40" s="23"/>
      <x:c r="G40" s="23"/>
      <x:c r="H40" s="23"/>
      <x:c r="I40" s="23"/>
      <x:c r="J40" s="23"/>
      <x:c r="K40" s="23"/>
      <x:c r="L40" s="36"/>
      <x:c r="M40" s="29"/>
      <x:c r="N40" s="23"/>
      <x:c r="O40" s="23"/>
      <x:c r="P40" s="24"/>
    </x:row>
    <x:row r="41">
      <x:c r="A41" s="22"/>
      <x:c r="B41" s="23" t="str">
        <x:f>IF(A41="","",IFERROR(INDEX('Tester_Plan'!$B$6:$B$55,MATCH(A41,'Tester_Plan'!$A$6:$A$55,0)),"CHECK TESTER ID"))</x:f>
      </x:c>
      <x:c r="C41" s="23" t="str">
        <x:f>IF(A41="","",IFERROR(INDEX('Tester_Plan'!$D$6:$D$55,MATCH(A41,'Tester_Plan'!$A$6:$A$55,0)),"CHECK TESTER ID"))</x:f>
      </x:c>
      <x:c r="D41" s="23" t="str">
        <x:f>IF(A41="","",IF(COUNTIF('Tester_Plan'!$A$6:$A$55,A41)&gt;0,"Yes","No"))</x:f>
      </x:c>
      <x:c r="E41" s="23"/>
      <x:c r="F41" s="23"/>
      <x:c r="G41" s="23"/>
      <x:c r="H41" s="23"/>
      <x:c r="I41" s="23"/>
      <x:c r="J41" s="23"/>
      <x:c r="K41" s="23"/>
      <x:c r="L41" s="36"/>
      <x:c r="M41" s="29"/>
      <x:c r="N41" s="23"/>
      <x:c r="O41" s="23"/>
      <x:c r="P41" s="24"/>
    </x:row>
    <x:row r="42">
      <x:c r="A42" s="22"/>
      <x:c r="B42" s="23" t="str">
        <x:f>IF(A42="","",IFERROR(INDEX('Tester_Plan'!$B$6:$B$55,MATCH(A42,'Tester_Plan'!$A$6:$A$55,0)),"CHECK TESTER ID"))</x:f>
      </x:c>
      <x:c r="C42" s="23" t="str">
        <x:f>IF(A42="","",IFERROR(INDEX('Tester_Plan'!$D$6:$D$55,MATCH(A42,'Tester_Plan'!$A$6:$A$55,0)),"CHECK TESTER ID"))</x:f>
      </x:c>
      <x:c r="D42" s="23" t="str">
        <x:f>IF(A42="","",IF(COUNTIF('Tester_Plan'!$A$6:$A$55,A42)&gt;0,"Yes","No"))</x:f>
      </x:c>
      <x:c r="E42" s="23"/>
      <x:c r="F42" s="23"/>
      <x:c r="G42" s="23"/>
      <x:c r="H42" s="23"/>
      <x:c r="I42" s="23"/>
      <x:c r="J42" s="23"/>
      <x:c r="K42" s="23"/>
      <x:c r="L42" s="36"/>
      <x:c r="M42" s="29"/>
      <x:c r="N42" s="23"/>
      <x:c r="O42" s="23"/>
      <x:c r="P42" s="24"/>
    </x:row>
    <x:row r="43">
      <x:c r="A43" s="22"/>
      <x:c r="B43" s="23" t="str">
        <x:f>IF(A43="","",IFERROR(INDEX('Tester_Plan'!$B$6:$B$55,MATCH(A43,'Tester_Plan'!$A$6:$A$55,0)),"CHECK TESTER ID"))</x:f>
      </x:c>
      <x:c r="C43" s="23" t="str">
        <x:f>IF(A43="","",IFERROR(INDEX('Tester_Plan'!$D$6:$D$55,MATCH(A43,'Tester_Plan'!$A$6:$A$55,0)),"CHECK TESTER ID"))</x:f>
      </x:c>
      <x:c r="D43" s="23" t="str">
        <x:f>IF(A43="","",IF(COUNTIF('Tester_Plan'!$A$6:$A$55,A43)&gt;0,"Yes","No"))</x:f>
      </x:c>
      <x:c r="E43" s="23"/>
      <x:c r="F43" s="23"/>
      <x:c r="G43" s="23"/>
      <x:c r="H43" s="23"/>
      <x:c r="I43" s="23"/>
      <x:c r="J43" s="23"/>
      <x:c r="K43" s="23"/>
      <x:c r="L43" s="36"/>
      <x:c r="M43" s="29"/>
      <x:c r="N43" s="23"/>
      <x:c r="O43" s="23"/>
      <x:c r="P43" s="24"/>
    </x:row>
    <x:row r="44">
      <x:c r="A44" s="22"/>
      <x:c r="B44" s="23" t="str">
        <x:f>IF(A44="","",IFERROR(INDEX('Tester_Plan'!$B$6:$B$55,MATCH(A44,'Tester_Plan'!$A$6:$A$55,0)),"CHECK TESTER ID"))</x:f>
      </x:c>
      <x:c r="C44" s="23" t="str">
        <x:f>IF(A44="","",IFERROR(INDEX('Tester_Plan'!$D$6:$D$55,MATCH(A44,'Tester_Plan'!$A$6:$A$55,0)),"CHECK TESTER ID"))</x:f>
      </x:c>
      <x:c r="D44" s="23" t="str">
        <x:f>IF(A44="","",IF(COUNTIF('Tester_Plan'!$A$6:$A$55,A44)&gt;0,"Yes","No"))</x:f>
      </x:c>
      <x:c r="E44" s="23"/>
      <x:c r="F44" s="23"/>
      <x:c r="G44" s="23"/>
      <x:c r="H44" s="23"/>
      <x:c r="I44" s="23"/>
      <x:c r="J44" s="23"/>
      <x:c r="K44" s="23"/>
      <x:c r="L44" s="36"/>
      <x:c r="M44" s="29"/>
      <x:c r="N44" s="23"/>
      <x:c r="O44" s="23"/>
      <x:c r="P44" s="24"/>
    </x:row>
    <x:row r="45">
      <x:c r="A45" s="22"/>
      <x:c r="B45" s="23" t="str">
        <x:f>IF(A45="","",IFERROR(INDEX('Tester_Plan'!$B$6:$B$55,MATCH(A45,'Tester_Plan'!$A$6:$A$55,0)),"CHECK TESTER ID"))</x:f>
      </x:c>
      <x:c r="C45" s="23" t="str">
        <x:f>IF(A45="","",IFERROR(INDEX('Tester_Plan'!$D$6:$D$55,MATCH(A45,'Tester_Plan'!$A$6:$A$55,0)),"CHECK TESTER ID"))</x:f>
      </x:c>
      <x:c r="D45" s="23" t="str">
        <x:f>IF(A45="","",IF(COUNTIF('Tester_Plan'!$A$6:$A$55,A45)&gt;0,"Yes","No"))</x:f>
      </x:c>
      <x:c r="E45" s="23"/>
      <x:c r="F45" s="23"/>
      <x:c r="G45" s="23"/>
      <x:c r="H45" s="23"/>
      <x:c r="I45" s="23"/>
      <x:c r="J45" s="23"/>
      <x:c r="K45" s="23"/>
      <x:c r="L45" s="36"/>
      <x:c r="M45" s="29"/>
      <x:c r="N45" s="23"/>
      <x:c r="O45" s="23"/>
      <x:c r="P45" s="24"/>
    </x:row>
    <x:row r="46">
      <x:c r="A46" s="22"/>
      <x:c r="B46" s="23" t="str">
        <x:f>IF(A46="","",IFERROR(INDEX('Tester_Plan'!$B$6:$B$55,MATCH(A46,'Tester_Plan'!$A$6:$A$55,0)),"CHECK TESTER ID"))</x:f>
      </x:c>
      <x:c r="C46" s="23" t="str">
        <x:f>IF(A46="","",IFERROR(INDEX('Tester_Plan'!$D$6:$D$55,MATCH(A46,'Tester_Plan'!$A$6:$A$55,0)),"CHECK TESTER ID"))</x:f>
      </x:c>
      <x:c r="D46" s="23" t="str">
        <x:f>IF(A46="","",IF(COUNTIF('Tester_Plan'!$A$6:$A$55,A46)&gt;0,"Yes","No"))</x:f>
      </x:c>
      <x:c r="E46" s="23"/>
      <x:c r="F46" s="23"/>
      <x:c r="G46" s="23"/>
      <x:c r="H46" s="23"/>
      <x:c r="I46" s="23"/>
      <x:c r="J46" s="23"/>
      <x:c r="K46" s="23"/>
      <x:c r="L46" s="36"/>
      <x:c r="M46" s="29"/>
      <x:c r="N46" s="23"/>
      <x:c r="O46" s="23"/>
      <x:c r="P46" s="24"/>
    </x:row>
    <x:row r="47">
      <x:c r="A47" s="22"/>
      <x:c r="B47" s="23" t="str">
        <x:f>IF(A47="","",IFERROR(INDEX('Tester_Plan'!$B$6:$B$55,MATCH(A47,'Tester_Plan'!$A$6:$A$55,0)),"CHECK TESTER ID"))</x:f>
      </x:c>
      <x:c r="C47" s="23" t="str">
        <x:f>IF(A47="","",IFERROR(INDEX('Tester_Plan'!$D$6:$D$55,MATCH(A47,'Tester_Plan'!$A$6:$A$55,0)),"CHECK TESTER ID"))</x:f>
      </x:c>
      <x:c r="D47" s="23" t="str">
        <x:f>IF(A47="","",IF(COUNTIF('Tester_Plan'!$A$6:$A$55,A47)&gt;0,"Yes","No"))</x:f>
      </x:c>
      <x:c r="E47" s="23"/>
      <x:c r="F47" s="23"/>
      <x:c r="G47" s="23"/>
      <x:c r="H47" s="23"/>
      <x:c r="I47" s="23"/>
      <x:c r="J47" s="23"/>
      <x:c r="K47" s="23"/>
      <x:c r="L47" s="36"/>
      <x:c r="M47" s="29"/>
      <x:c r="N47" s="23"/>
      <x:c r="O47" s="23"/>
      <x:c r="P47" s="24"/>
    </x:row>
    <x:row r="48">
      <x:c r="A48" s="22"/>
      <x:c r="B48" s="23" t="str">
        <x:f>IF(A48="","",IFERROR(INDEX('Tester_Plan'!$B$6:$B$55,MATCH(A48,'Tester_Plan'!$A$6:$A$55,0)),"CHECK TESTER ID"))</x:f>
      </x:c>
      <x:c r="C48" s="23" t="str">
        <x:f>IF(A48="","",IFERROR(INDEX('Tester_Plan'!$D$6:$D$55,MATCH(A48,'Tester_Plan'!$A$6:$A$55,0)),"CHECK TESTER ID"))</x:f>
      </x:c>
      <x:c r="D48" s="23" t="str">
        <x:f>IF(A48="","",IF(COUNTIF('Tester_Plan'!$A$6:$A$55,A48)&gt;0,"Yes","No"))</x:f>
      </x:c>
      <x:c r="E48" s="23"/>
      <x:c r="F48" s="23"/>
      <x:c r="G48" s="23"/>
      <x:c r="H48" s="23"/>
      <x:c r="I48" s="23"/>
      <x:c r="J48" s="23"/>
      <x:c r="K48" s="23"/>
      <x:c r="L48" s="36"/>
      <x:c r="M48" s="29"/>
      <x:c r="N48" s="23"/>
      <x:c r="O48" s="23"/>
      <x:c r="P48" s="24"/>
    </x:row>
    <x:row r="49">
      <x:c r="A49" s="22"/>
      <x:c r="B49" s="23" t="str">
        <x:f>IF(A49="","",IFERROR(INDEX('Tester_Plan'!$B$6:$B$55,MATCH(A49,'Tester_Plan'!$A$6:$A$55,0)),"CHECK TESTER ID"))</x:f>
      </x:c>
      <x:c r="C49" s="23" t="str">
        <x:f>IF(A49="","",IFERROR(INDEX('Tester_Plan'!$D$6:$D$55,MATCH(A49,'Tester_Plan'!$A$6:$A$55,0)),"CHECK TESTER ID"))</x:f>
      </x:c>
      <x:c r="D49" s="23" t="str">
        <x:f>IF(A49="","",IF(COUNTIF('Tester_Plan'!$A$6:$A$55,A49)&gt;0,"Yes","No"))</x:f>
      </x:c>
      <x:c r="E49" s="23"/>
      <x:c r="F49" s="23"/>
      <x:c r="G49" s="23"/>
      <x:c r="H49" s="23"/>
      <x:c r="I49" s="23"/>
      <x:c r="J49" s="23"/>
      <x:c r="K49" s="23"/>
      <x:c r="L49" s="36"/>
      <x:c r="M49" s="29"/>
      <x:c r="N49" s="23"/>
      <x:c r="O49" s="23"/>
      <x:c r="P49" s="24"/>
    </x:row>
    <x:row r="50">
      <x:c r="A50" s="22"/>
      <x:c r="B50" s="23" t="str">
        <x:f>IF(A50="","",IFERROR(INDEX('Tester_Plan'!$B$6:$B$55,MATCH(A50,'Tester_Plan'!$A$6:$A$55,0)),"CHECK TESTER ID"))</x:f>
      </x:c>
      <x:c r="C50" s="23" t="str">
        <x:f>IF(A50="","",IFERROR(INDEX('Tester_Plan'!$D$6:$D$55,MATCH(A50,'Tester_Plan'!$A$6:$A$55,0)),"CHECK TESTER ID"))</x:f>
      </x:c>
      <x:c r="D50" s="23" t="str">
        <x:f>IF(A50="","",IF(COUNTIF('Tester_Plan'!$A$6:$A$55,A50)&gt;0,"Yes","No"))</x:f>
      </x:c>
      <x:c r="E50" s="23"/>
      <x:c r="F50" s="23"/>
      <x:c r="G50" s="23"/>
      <x:c r="H50" s="23"/>
      <x:c r="I50" s="23"/>
      <x:c r="J50" s="23"/>
      <x:c r="K50" s="23"/>
      <x:c r="L50" s="36"/>
      <x:c r="M50" s="29"/>
      <x:c r="N50" s="23"/>
      <x:c r="O50" s="23"/>
      <x:c r="P50" s="24"/>
    </x:row>
    <x:row r="51">
      <x:c r="A51" s="22"/>
      <x:c r="B51" s="23" t="str">
        <x:f>IF(A51="","",IFERROR(INDEX('Tester_Plan'!$B$6:$B$55,MATCH(A51,'Tester_Plan'!$A$6:$A$55,0)),"CHECK TESTER ID"))</x:f>
      </x:c>
      <x:c r="C51" s="23" t="str">
        <x:f>IF(A51="","",IFERROR(INDEX('Tester_Plan'!$D$6:$D$55,MATCH(A51,'Tester_Plan'!$A$6:$A$55,0)),"CHECK TESTER ID"))</x:f>
      </x:c>
      <x:c r="D51" s="23" t="str">
        <x:f>IF(A51="","",IF(COUNTIF('Tester_Plan'!$A$6:$A$55,A51)&gt;0,"Yes","No"))</x:f>
      </x:c>
      <x:c r="E51" s="23"/>
      <x:c r="F51" s="23"/>
      <x:c r="G51" s="23"/>
      <x:c r="H51" s="23"/>
      <x:c r="I51" s="23"/>
      <x:c r="J51" s="23"/>
      <x:c r="K51" s="23"/>
      <x:c r="L51" s="36"/>
      <x:c r="M51" s="29"/>
      <x:c r="N51" s="23"/>
      <x:c r="O51" s="23"/>
      <x:c r="P51" s="24"/>
    </x:row>
    <x:row r="52">
      <x:c r="A52" s="22"/>
      <x:c r="B52" s="23" t="str">
        <x:f>IF(A52="","",IFERROR(INDEX('Tester_Plan'!$B$6:$B$55,MATCH(A52,'Tester_Plan'!$A$6:$A$55,0)),"CHECK TESTER ID"))</x:f>
      </x:c>
      <x:c r="C52" s="23" t="str">
        <x:f>IF(A52="","",IFERROR(INDEX('Tester_Plan'!$D$6:$D$55,MATCH(A52,'Tester_Plan'!$A$6:$A$55,0)),"CHECK TESTER ID"))</x:f>
      </x:c>
      <x:c r="D52" s="23" t="str">
        <x:f>IF(A52="","",IF(COUNTIF('Tester_Plan'!$A$6:$A$55,A52)&gt;0,"Yes","No"))</x:f>
      </x:c>
      <x:c r="E52" s="23"/>
      <x:c r="F52" s="23"/>
      <x:c r="G52" s="23"/>
      <x:c r="H52" s="23"/>
      <x:c r="I52" s="23"/>
      <x:c r="J52" s="23"/>
      <x:c r="K52" s="23"/>
      <x:c r="L52" s="36"/>
      <x:c r="M52" s="29"/>
      <x:c r="N52" s="23"/>
      <x:c r="O52" s="23"/>
      <x:c r="P52" s="24"/>
    </x:row>
    <x:row r="53">
      <x:c r="A53" s="22"/>
      <x:c r="B53" s="23" t="str">
        <x:f>IF(A53="","",IFERROR(INDEX('Tester_Plan'!$B$6:$B$55,MATCH(A53,'Tester_Plan'!$A$6:$A$55,0)),"CHECK TESTER ID"))</x:f>
      </x:c>
      <x:c r="C53" s="23" t="str">
        <x:f>IF(A53="","",IFERROR(INDEX('Tester_Plan'!$D$6:$D$55,MATCH(A53,'Tester_Plan'!$A$6:$A$55,0)),"CHECK TESTER ID"))</x:f>
      </x:c>
      <x:c r="D53" s="23" t="str">
        <x:f>IF(A53="","",IF(COUNTIF('Tester_Plan'!$A$6:$A$55,A53)&gt;0,"Yes","No"))</x:f>
      </x:c>
      <x:c r="E53" s="23"/>
      <x:c r="F53" s="23"/>
      <x:c r="G53" s="23"/>
      <x:c r="H53" s="23"/>
      <x:c r="I53" s="23"/>
      <x:c r="J53" s="23"/>
      <x:c r="K53" s="23"/>
      <x:c r="L53" s="36"/>
      <x:c r="M53" s="29"/>
      <x:c r="N53" s="23"/>
      <x:c r="O53" s="23"/>
      <x:c r="P53" s="24"/>
    </x:row>
    <x:row r="54">
      <x:c r="A54" s="22"/>
      <x:c r="B54" s="23" t="str">
        <x:f>IF(A54="","",IFERROR(INDEX('Tester_Plan'!$B$6:$B$55,MATCH(A54,'Tester_Plan'!$A$6:$A$55,0)),"CHECK TESTER ID"))</x:f>
      </x:c>
      <x:c r="C54" s="23" t="str">
        <x:f>IF(A54="","",IFERROR(INDEX('Tester_Plan'!$D$6:$D$55,MATCH(A54,'Tester_Plan'!$A$6:$A$55,0)),"CHECK TESTER ID"))</x:f>
      </x:c>
      <x:c r="D54" s="23" t="str">
        <x:f>IF(A54="","",IF(COUNTIF('Tester_Plan'!$A$6:$A$55,A54)&gt;0,"Yes","No"))</x:f>
      </x:c>
      <x:c r="E54" s="23"/>
      <x:c r="F54" s="23"/>
      <x:c r="G54" s="23"/>
      <x:c r="H54" s="23"/>
      <x:c r="I54" s="23"/>
      <x:c r="J54" s="23"/>
      <x:c r="K54" s="23"/>
      <x:c r="L54" s="36"/>
      <x:c r="M54" s="29"/>
      <x:c r="N54" s="23"/>
      <x:c r="O54" s="23"/>
      <x:c r="P54" s="24"/>
    </x:row>
    <x:row r="55">
      <x:c r="A55" s="22"/>
      <x:c r="B55" s="23" t="str">
        <x:f>IF(A55="","",IFERROR(INDEX('Tester_Plan'!$B$6:$B$55,MATCH(A55,'Tester_Plan'!$A$6:$A$55,0)),"CHECK TESTER ID"))</x:f>
      </x:c>
      <x:c r="C55" s="23" t="str">
        <x:f>IF(A55="","",IFERROR(INDEX('Tester_Plan'!$D$6:$D$55,MATCH(A55,'Tester_Plan'!$A$6:$A$55,0)),"CHECK TESTER ID"))</x:f>
      </x:c>
      <x:c r="D55" s="23" t="str">
        <x:f>IF(A55="","",IF(COUNTIF('Tester_Plan'!$A$6:$A$55,A55)&gt;0,"Yes","No"))</x:f>
      </x:c>
      <x:c r="E55" s="23"/>
      <x:c r="F55" s="23"/>
      <x:c r="G55" s="23"/>
      <x:c r="H55" s="23"/>
      <x:c r="I55" s="23"/>
      <x:c r="J55" s="23"/>
      <x:c r="K55" s="23"/>
      <x:c r="L55" s="36"/>
      <x:c r="M55" s="29"/>
      <x:c r="N55" s="23"/>
      <x:c r="O55" s="23"/>
      <x:c r="P55" s="24"/>
    </x:row>
    <x:row r="56">
      <x:c r="A56" s="25"/>
      <x:c r="B56" s="26" t="str">
        <x:f>IF(A56="","",IFERROR(INDEX('Tester_Plan'!$B$6:$B$55,MATCH(A56,'Tester_Plan'!$A$6:$A$55,0)),"CHECK TESTER ID"))</x:f>
      </x:c>
      <x:c r="C56" s="26" t="str">
        <x:f>IF(A56="","",IFERROR(INDEX('Tester_Plan'!$D$6:$D$55,MATCH(A56,'Tester_Plan'!$A$6:$A$55,0)),"CHECK TESTER ID"))</x:f>
      </x:c>
      <x:c r="D56" s="26" t="str">
        <x:f>IF(A56="","",IF(COUNTIF('Tester_Plan'!$A$6:$A$55,A56)&gt;0,"Yes","No"))</x:f>
      </x:c>
      <x:c r="E56" s="26"/>
      <x:c r="F56" s="26"/>
      <x:c r="G56" s="26"/>
      <x:c r="H56" s="26"/>
      <x:c r="I56" s="26"/>
      <x:c r="J56" s="26"/>
      <x:c r="K56" s="26"/>
      <x:c r="L56" s="37"/>
      <x:c r="M56" s="30"/>
      <x:c r="N56" s="26"/>
      <x:c r="O56" s="26"/>
      <x:c r="P56" s="27"/>
    </x:row>
  </x:sheetData>
  <x:mergeCells>
    <x:mergeCell ref="A1:P1"/>
    <x:mergeCell ref="A2:P2"/>
  </x:mergeCells>
  <x:dataValidations count="9">
    <x:dataValidation type="list" sqref="E7:E56">
      <x:formula1>"Yes,No,Not yet,Not applicable"</x:formula1>
    </x:dataValidation>
    <x:dataValidation type="list" sqref="F7:F56">
      <x:formula1>"Yes,No,Not yet,Not applicable"</x:formula1>
    </x:dataValidation>
    <x:dataValidation type="list" sqref="G7:G56">
      <x:formula1>"Yes,No,Not yet,Not applicable"</x:formula1>
    </x:dataValidation>
    <x:dataValidation type="list" sqref="I7:I56">
      <x:formula1>"Yes,No,Not yet,Not applicable"</x:formula1>
    </x:dataValidation>
    <x:dataValidation type="list" sqref="J7:J56">
      <x:formula1>"Yes,No,Not yet,Not applicable"</x:formula1>
    </x:dataValidation>
    <x:dataValidation type="list" sqref="K7:K56">
      <x:formula1>"Yes,No,Not yet,Not applicable"</x:formula1>
    </x:dataValidation>
    <x:dataValidation type="list" sqref="N7:N56">
      <x:formula1>"Yes,No,Not yet,Not applicable"</x:formula1>
    </x:dataValidation>
    <x:dataValidation type="list" sqref="O7:O56">
      <x:formula1>"Yes,No,Not yet,Not applicable"</x:formula1>
    </x:dataValidation>
    <x:dataValidation type="list" sqref="H7:H56">
      <x:formula1>"Not started,Started,In progress,Paused,Completed"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28" hidden="0" customWidth="1"/>
    <x:col min="5" max="5" width="28" hidden="0" customWidth="1"/>
    <x:col min="6" max="6" width="26" hidden="0" customWidth="1"/>
    <x:col min="7" max="7" width="22" hidden="0" customWidth="1"/>
    <x:col min="8" max="8" width="24" hidden="0" customWidth="1"/>
    <x:col min="9" max="9" width="22" hidden="0" customWidth="1"/>
    <x:col min="10" max="10" width="18" hidden="0" customWidth="1"/>
    <x:col min="11" max="11" width="20" hidden="0" customWidth="1"/>
    <x:col min="12" max="12" width="20" hidden="0" customWidth="1"/>
    <x:col min="13" max="13" width="28" hidden="0" customWidth="1"/>
  </x:cols>
  <x:sheetData>
    <x:row r="1" ht="30" customHeight="1">
      <x:c r="A1" s="39" t="str">
        <x:v>DEC Internal Pilot - Support Log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6" customHeight="1">
      <x:c r="A2" s="7" t="str">
        <x:v>Record recurring or significant support questions. Routine one-off help does not need detailed logging unless it reveals a pattern, may affect learning, or could matter before the selected-CSO pilot.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</x:row>
    <x:row r="4" ht="32" customHeight="1">
      <x:c r="A4" s="15" t="str">
        <x:v>Support ID</x:v>
      </x:c>
      <x:c r="B4" s="15" t="str">
        <x:v>Date</x:v>
      </x:c>
      <x:c r="C4" s="15" t="str">
        <x:v>Tester ID</x:v>
      </x:c>
      <x:c r="D4" s="15" t="str">
        <x:v>Course / Hub</x:v>
      </x:c>
      <x:c r="E4" s="15" t="str">
        <x:v>Question or issue</x:v>
      </x:c>
      <x:c r="F4" s="15" t="str">
        <x:v>Immediate response</x:v>
      </x:c>
      <x:c r="G4" s="15" t="str">
        <x:v>Pattern type</x:v>
      </x:c>
      <x:c r="H4" s="15" t="str">
        <x:v>Theme / category</x:v>
      </x:c>
      <x:c r="I4" s="15" t="str">
        <x:v>Linked Quick Finding ID</x:v>
      </x:c>
      <x:c r="J4" s="15" t="str">
        <x:v>Needs escalation</x:v>
      </x:c>
      <x:c r="K4" s="15" t="str">
        <x:v>Owner</x:v>
      </x:c>
      <x:c r="L4" s="15" t="str">
        <x:v>Status</x:v>
      </x:c>
      <x:c r="M4" s="15" t="str">
        <x:v>Resolution / next step</x:v>
      </x:c>
    </x:row>
    <x:row r="5">
      <x:c r="A5" s="19"/>
      <x:c r="B5" s="28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1"/>
    </x:row>
    <x:row r="6">
      <x:c r="A6" s="22"/>
      <x:c r="B6" s="29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4"/>
    </x:row>
    <x:row r="7">
      <x:c r="A7" s="22"/>
      <x:c r="B7" s="29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4"/>
    </x:row>
    <x:row r="8">
      <x:c r="A8" s="22"/>
      <x:c r="B8" s="29"/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4"/>
    </x:row>
    <x:row r="9">
      <x:c r="A9" s="22"/>
      <x:c r="B9" s="29"/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4"/>
    </x:row>
    <x:row r="10">
      <x:c r="A10" s="22"/>
      <x:c r="B10" s="29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4"/>
    </x:row>
    <x:row r="11">
      <x:c r="A11" s="22"/>
      <x:c r="B11" s="29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4"/>
    </x:row>
    <x:row r="12">
      <x:c r="A12" s="22"/>
      <x:c r="B12" s="29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4"/>
    </x:row>
    <x:row r="13">
      <x:c r="A13" s="22"/>
      <x:c r="B13" s="29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4"/>
    </x:row>
    <x:row r="14">
      <x:c r="A14" s="22"/>
      <x:c r="B14" s="29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4"/>
    </x:row>
    <x:row r="15">
      <x:c r="A15" s="22"/>
      <x:c r="B15" s="29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4"/>
    </x:row>
    <x:row r="16">
      <x:c r="A16" s="22"/>
      <x:c r="B16" s="29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4"/>
    </x:row>
    <x:row r="17">
      <x:c r="A17" s="22"/>
      <x:c r="B17" s="29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4"/>
    </x:row>
    <x:row r="18">
      <x:c r="A18" s="22"/>
      <x:c r="B18" s="29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4"/>
    </x:row>
    <x:row r="19">
      <x:c r="A19" s="22"/>
      <x:c r="B19" s="29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4"/>
    </x:row>
    <x:row r="20">
      <x:c r="A20" s="22"/>
      <x:c r="B20" s="29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4"/>
    </x:row>
    <x:row r="21">
      <x:c r="A21" s="22"/>
      <x:c r="B21" s="29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4"/>
    </x:row>
    <x:row r="22">
      <x:c r="A22" s="22"/>
      <x:c r="B22" s="29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4"/>
    </x:row>
    <x:row r="23">
      <x:c r="A23" s="22"/>
      <x:c r="B23" s="29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4"/>
    </x:row>
    <x:row r="24">
      <x:c r="A24" s="22"/>
      <x:c r="B24" s="29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4"/>
    </x:row>
    <x:row r="25">
      <x:c r="A25" s="22"/>
      <x:c r="B25" s="29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4"/>
    </x:row>
    <x:row r="26">
      <x:c r="A26" s="22"/>
      <x:c r="B26" s="29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4"/>
    </x:row>
    <x:row r="27">
      <x:c r="A27" s="22"/>
      <x:c r="B27" s="29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4"/>
    </x:row>
    <x:row r="28">
      <x:c r="A28" s="22"/>
      <x:c r="B28" s="29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4"/>
    </x:row>
    <x:row r="29">
      <x:c r="A29" s="22"/>
      <x:c r="B29" s="29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4"/>
    </x:row>
    <x:row r="30">
      <x:c r="A30" s="22"/>
      <x:c r="B30" s="29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4"/>
    </x:row>
    <x:row r="31">
      <x:c r="A31" s="22"/>
      <x:c r="B31" s="29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4"/>
    </x:row>
    <x:row r="32">
      <x:c r="A32" s="22"/>
      <x:c r="B32" s="29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4"/>
    </x:row>
    <x:row r="33">
      <x:c r="A33" s="22"/>
      <x:c r="B33" s="29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4"/>
    </x:row>
    <x:row r="34">
      <x:c r="A34" s="22"/>
      <x:c r="B34" s="29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4"/>
    </x:row>
    <x:row r="35">
      <x:c r="A35" s="22"/>
      <x:c r="B35" s="29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4"/>
    </x:row>
    <x:row r="36">
      <x:c r="A36" s="22"/>
      <x:c r="B36" s="29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4"/>
    </x:row>
    <x:row r="37">
      <x:c r="A37" s="22"/>
      <x:c r="B37" s="29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4"/>
    </x:row>
    <x:row r="38">
      <x:c r="A38" s="22"/>
      <x:c r="B38" s="29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4"/>
    </x:row>
    <x:row r="39">
      <x:c r="A39" s="22"/>
      <x:c r="B39" s="29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4"/>
    </x:row>
    <x:row r="40">
      <x:c r="A40" s="22"/>
      <x:c r="B40" s="29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4"/>
    </x:row>
    <x:row r="41">
      <x:c r="A41" s="22"/>
      <x:c r="B41" s="29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4"/>
    </x:row>
    <x:row r="42">
      <x:c r="A42" s="22"/>
      <x:c r="B42" s="29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4"/>
    </x:row>
    <x:row r="43">
      <x:c r="A43" s="22"/>
      <x:c r="B43" s="29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4"/>
    </x:row>
    <x:row r="44">
      <x:c r="A44" s="22"/>
      <x:c r="B44" s="29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4"/>
    </x:row>
    <x:row r="45">
      <x:c r="A45" s="22"/>
      <x:c r="B45" s="29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4"/>
    </x:row>
    <x:row r="46">
      <x:c r="A46" s="22"/>
      <x:c r="B46" s="29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4"/>
    </x:row>
    <x:row r="47">
      <x:c r="A47" s="22"/>
      <x:c r="B47" s="29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4"/>
    </x:row>
    <x:row r="48">
      <x:c r="A48" s="22"/>
      <x:c r="B48" s="29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4"/>
    </x:row>
    <x:row r="49">
      <x:c r="A49" s="22"/>
      <x:c r="B49" s="29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4"/>
    </x:row>
    <x:row r="50">
      <x:c r="A50" s="22"/>
      <x:c r="B50" s="29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4"/>
    </x:row>
    <x:row r="51">
      <x:c r="A51" s="22"/>
      <x:c r="B51" s="29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4"/>
    </x:row>
    <x:row r="52">
      <x:c r="A52" s="22"/>
      <x:c r="B52" s="29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4"/>
    </x:row>
    <x:row r="53">
      <x:c r="A53" s="22"/>
      <x:c r="B53" s="29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4"/>
    </x:row>
    <x:row r="54">
      <x:c r="A54" s="22"/>
      <x:c r="B54" s="29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4"/>
    </x:row>
    <x:row r="55">
      <x:c r="A55" s="22"/>
      <x:c r="B55" s="29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4"/>
    </x:row>
    <x:row r="56">
      <x:c r="A56" s="22"/>
      <x:c r="B56" s="29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4"/>
    </x:row>
    <x:row r="57">
      <x:c r="A57" s="22"/>
      <x:c r="B57" s="29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4"/>
    </x:row>
    <x:row r="58">
      <x:c r="A58" s="22"/>
      <x:c r="B58" s="29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4"/>
    </x:row>
    <x:row r="59">
      <x:c r="A59" s="22"/>
      <x:c r="B59" s="29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4"/>
    </x:row>
    <x:row r="60">
      <x:c r="A60" s="22"/>
      <x:c r="B60" s="29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4"/>
    </x:row>
    <x:row r="61">
      <x:c r="A61" s="22"/>
      <x:c r="B61" s="29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4"/>
    </x:row>
    <x:row r="62">
      <x:c r="A62" s="22"/>
      <x:c r="B62" s="29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4"/>
    </x:row>
    <x:row r="63">
      <x:c r="A63" s="22"/>
      <x:c r="B63" s="29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4"/>
    </x:row>
    <x:row r="64">
      <x:c r="A64" s="25"/>
      <x:c r="B64" s="30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7"/>
    </x:row>
  </x:sheetData>
  <x:mergeCells>
    <x:mergeCell ref="A1:M1"/>
    <x:mergeCell ref="A2:M2"/>
  </x:mergeCells>
  <x:dataValidations count="3">
    <x:dataValidation type="list" sqref="G5:G64">
      <x:formula1>"Individual support need,Recurring issue,Possible pattern,Resolved guidance need"</x:formula1>
    </x:dataValidation>
    <x:dataValidation type="list" sqref="J5:J64">
      <x:formula1>"Yes,No,Not sure"</x:formula1>
    </x:dataValidation>
    <x:dataValidation type="list" sqref="L5:L64">
      <x:formula1>"Open,In progress,Resolved,Linked to action"</x:formula1>
    </x:dataValidation>
  </x:dataValidations>
  <x:pageMargins left="0.7" right="0.7" top="0.75" bottom="0.75" header="0.3" footer="0.3"/>
</x:worksheet>
</file>